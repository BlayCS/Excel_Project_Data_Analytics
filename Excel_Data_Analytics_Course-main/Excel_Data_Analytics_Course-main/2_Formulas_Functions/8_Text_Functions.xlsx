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ropietario\Documents\Otros\Excel\Excel_Data_Analytics_Course-main\Excel_Data_Analytics_Course-main\2_Formulas_Functions\"/>
    </mc:Choice>
  </mc:AlternateContent>
  <xr:revisionPtr revIDLastSave="0" documentId="13_ncr:1_{E329934D-797E-4F40-B248-3A4D0BAB6845}" xr6:coauthVersionLast="47" xr6:coauthVersionMax="47" xr10:uidLastSave="{00000000-0000-0000-0000-000000000000}"/>
  <bookViews>
    <workbookView xWindow="-108" yWindow="-108" windowWidth="23256" windowHeight="13176"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9" i="12"/>
  <c r="A9" i="12" a="1"/>
  <c r="A9" i="12" s="1"/>
  <c r="A6" i="12" a="1"/>
  <c r="A6" i="12" s="1"/>
  <c r="A3" i="12"/>
  <c r="T3" i="8"/>
  <c r="U3" i="8" s="1"/>
  <c r="T4" i="8"/>
  <c r="U4" i="8" s="1"/>
  <c r="V4" i="8"/>
  <c r="T5" i="8"/>
  <c r="V5" i="8" s="1"/>
  <c r="T6" i="8"/>
  <c r="U6" i="8" s="1"/>
  <c r="V6" i="8"/>
  <c r="T7" i="8"/>
  <c r="U7" i="8"/>
  <c r="V7" i="8"/>
  <c r="T8" i="8"/>
  <c r="U8" i="8"/>
  <c r="V8" i="8"/>
  <c r="T9" i="8"/>
  <c r="U9" i="8"/>
  <c r="V9" i="8"/>
  <c r="T10" i="8"/>
  <c r="V10" i="8" s="1"/>
  <c r="U10" i="8"/>
  <c r="T11" i="8"/>
  <c r="V11" i="8" s="1"/>
  <c r="U11" i="8"/>
  <c r="T12" i="8"/>
  <c r="U12" i="8" s="1"/>
  <c r="V12" i="8"/>
  <c r="T13" i="8"/>
  <c r="V13" i="8" s="1"/>
  <c r="T14" i="8"/>
  <c r="U14" i="8" s="1"/>
  <c r="V14" i="8"/>
  <c r="T15" i="8"/>
  <c r="U15" i="8"/>
  <c r="V15" i="8"/>
  <c r="T16" i="8"/>
  <c r="U16" i="8"/>
  <c r="V16" i="8"/>
  <c r="T17" i="8"/>
  <c r="U17" i="8"/>
  <c r="V17" i="8"/>
  <c r="T18" i="8"/>
  <c r="V18" i="8" s="1"/>
  <c r="U18" i="8"/>
  <c r="T19" i="8"/>
  <c r="V19" i="8" s="1"/>
  <c r="U19" i="8"/>
  <c r="T20" i="8"/>
  <c r="U20" i="8" s="1"/>
  <c r="V20" i="8"/>
  <c r="T21" i="8"/>
  <c r="V21" i="8" s="1"/>
  <c r="T2" i="8"/>
  <c r="V2" i="8" s="1"/>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U21" i="8" l="1"/>
  <c r="U13" i="8"/>
  <c r="U5" i="8"/>
  <c r="V3" i="8"/>
  <c r="U2"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<sst xmlns="http://schemas.openxmlformats.org/spreadsheetml/2006/main" count="609" uniqueCount="95">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</sst>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9912335958005251"/>
          <c:y val="3.7563794109069688E-2"/>
          <c:w val="0.77787664041994753"/>
          <c:h val="0.85503681831437739"/>
        </c:manualLayout>
      </c:layout>
      <c:barChart>
        <c:barDir val="bar"/>
        <c:grouping val="clustered"/>
        <c:varyColors val="0"/>
        <c:ser>
          <c:idx val="0"/>
          <c:order val="0"/>
          <c:spPr>
            <a:solidFill>
              <a:schemeClr val="accent1"/>
            </a:solidFill>
            <a:ln>
              <a:noFill/>
            </a:ln>
            <a:effectLst/>
          </c:spPr>
          <c:invertIfNegative val="0"/>
          <c:cat>
            <c:strRef>
              <c:f>Skills!$A$9:$A$40</c:f>
              <c:strCache>
                <c:ptCount val="32"/>
                <c:pt idx="0">
                  <c:v>Kafka</c:v>
                </c:pt>
                <c:pt idx="1">
                  <c:v> DataBricks</c:v>
                </c:pt>
                <c:pt idx="2">
                  <c:v> Spark</c:v>
                </c:pt>
                <c:pt idx="3">
                  <c:v> Python</c:v>
                </c:pt>
                <c:pt idx="4">
                  <c:v> GCPPower BI</c:v>
                </c:pt>
                <c:pt idx="5">
                  <c:v> GCP</c:v>
                </c:pt>
                <c:pt idx="6">
                  <c:v> Airflow</c:v>
                </c:pt>
                <c:pt idx="7">
                  <c:v> Hadoop</c:v>
                </c:pt>
                <c:pt idx="8">
                  <c:v> RAzure</c:v>
                </c:pt>
                <c:pt idx="9">
                  <c:v> Java</c:v>
                </c:pt>
                <c:pt idx="10">
                  <c:v> SQL</c:v>
                </c:pt>
                <c:pt idx="11">
                  <c:v> DataBricksKafka</c:v>
                </c:pt>
                <c:pt idx="12">
                  <c:v> GCPDataBricks</c:v>
                </c:pt>
                <c:pt idx="13">
                  <c:v> JavaSnowflake</c:v>
                </c:pt>
                <c:pt idx="14">
                  <c:v> DataBricksAzure</c:v>
                </c:pt>
                <c:pt idx="15">
                  <c:v> DataBricksSnowflake</c:v>
                </c:pt>
                <c:pt idx="16">
                  <c:v> DataBricksScala</c:v>
                </c:pt>
                <c:pt idx="17">
                  <c:v> Azure</c:v>
                </c:pt>
                <c:pt idx="18">
                  <c:v> R</c:v>
                </c:pt>
                <c:pt idx="19">
                  <c:v> KafkaSnowflake</c:v>
                </c:pt>
                <c:pt idx="20">
                  <c:v> Excel</c:v>
                </c:pt>
                <c:pt idx="21">
                  <c:v> ScalaExcel</c:v>
                </c:pt>
                <c:pt idx="22">
                  <c:v> Power BI</c:v>
                </c:pt>
                <c:pt idx="23">
                  <c:v> RScala</c:v>
                </c:pt>
                <c:pt idx="24">
                  <c:v> SQLSnowflake</c:v>
                </c:pt>
                <c:pt idx="25">
                  <c:v> DataBricksJava</c:v>
                </c:pt>
                <c:pt idx="26">
                  <c:v> Scala</c:v>
                </c:pt>
                <c:pt idx="27">
                  <c:v> RDataBricks</c:v>
                </c:pt>
                <c:pt idx="28">
                  <c:v> ScalaPower BI</c:v>
                </c:pt>
                <c:pt idx="29">
                  <c:v> Tableau</c:v>
                </c:pt>
                <c:pt idx="30">
                  <c:v> SQLDataBricks</c:v>
                </c:pt>
                <c:pt idx="31">
                  <c:v> JavaDataBricks</c:v>
                </c:pt>
              </c:strCache>
            </c:strRef>
          </c:cat>
          <c:val>
            <c:numRef>
              <c:f>Skills!$B$9:$B$40</c:f>
              <c:numCache>
                <c:formatCode>General</c:formatCode>
                <c:ptCount val="32"/>
                <c:pt idx="0">
                  <c:v>1</c:v>
                </c:pt>
                <c:pt idx="1">
                  <c:v>2</c:v>
                </c:pt>
                <c:pt idx="2">
                  <c:v>2</c:v>
                </c:pt>
                <c:pt idx="3">
                  <c:v>2</c:v>
                </c:pt>
                <c:pt idx="4">
                  <c:v>1</c:v>
                </c:pt>
                <c:pt idx="5">
                  <c:v>2</c:v>
                </c:pt>
                <c:pt idx="6">
                  <c:v>6</c:v>
                </c:pt>
                <c:pt idx="7">
                  <c:v>7</c:v>
                </c:pt>
                <c:pt idx="8">
                  <c:v>1</c:v>
                </c:pt>
                <c:pt idx="9">
                  <c:v>3</c:v>
                </c:pt>
                <c:pt idx="10">
                  <c:v>2</c:v>
                </c:pt>
                <c:pt idx="11">
                  <c:v>1</c:v>
                </c:pt>
                <c:pt idx="12">
                  <c:v>1</c:v>
                </c:pt>
                <c:pt idx="13">
                  <c:v>2</c:v>
                </c:pt>
                <c:pt idx="14">
                  <c:v>1</c:v>
                </c:pt>
                <c:pt idx="15">
                  <c:v>1</c:v>
                </c:pt>
                <c:pt idx="16">
                  <c:v>1</c:v>
                </c:pt>
                <c:pt idx="17">
                  <c:v>2</c:v>
                </c:pt>
                <c:pt idx="18">
                  <c:v>2</c:v>
                </c:pt>
                <c:pt idx="19">
                  <c:v>1</c:v>
                </c:pt>
                <c:pt idx="20">
                  <c:v>1</c:v>
                </c:pt>
                <c:pt idx="21">
                  <c:v>1</c:v>
                </c:pt>
                <c:pt idx="22">
                  <c:v>3</c:v>
                </c:pt>
                <c:pt idx="23">
                  <c:v>1</c:v>
                </c:pt>
                <c:pt idx="24">
                  <c:v>1</c:v>
                </c:pt>
                <c:pt idx="25">
                  <c:v>1</c:v>
                </c:pt>
                <c:pt idx="26">
                  <c:v>1</c:v>
                </c:pt>
                <c:pt idx="27">
                  <c:v>2</c:v>
                </c:pt>
                <c:pt idx="28">
                  <c:v>1</c:v>
                </c:pt>
                <c:pt idx="29">
                  <c:v>1</c:v>
                </c:pt>
                <c:pt idx="30">
                  <c:v>1</c:v>
                </c:pt>
                <c:pt idx="31">
                  <c:v>1</c:v>
                </c:pt>
              </c:numCache>
            </c:numRef>
          </c:val>
          <c:extLst>
            <c:ext xmlns:c16="http://schemas.microsoft.com/office/drawing/2014/chart" uri="{C3380CC4-5D6E-409C-BE32-E72D297353CC}">
              <c16:uniqueId val="{00000000-1151-4F95-8A21-EB8C05B3A0C0}"/>
            </c:ext>
          </c:extLst>
        </c:ser>
        <c:dLbls>
          <c:showLegendKey val="0"/>
          <c:showVal val="0"/>
          <c:showCatName val="0"/>
          <c:showSerName val="0"/>
          <c:showPercent val="0"/>
          <c:showBubbleSize val="0"/>
        </c:dLbls>
        <c:gapWidth val="182"/>
        <c:axId val="2134101583"/>
        <c:axId val="2134094863"/>
      </c:barChart>
      <c:catAx>
        <c:axId val="213410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34094863"/>
        <c:crosses val="autoZero"/>
        <c:auto val="1"/>
        <c:lblAlgn val="ctr"/>
        <c:lblOffset val="100"/>
        <c:noMultiLvlLbl val="0"/>
      </c:catAx>
      <c:valAx>
        <c:axId val="2134094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3410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215900</xdr:colOff>
      <xdr:row>22</xdr:row>
      <xdr:rowOff>130175</xdr:rowOff>
    </xdr:from>
    <xdr:to>
      <xdr:col>10</xdr:col>
      <xdr:colOff>520700</xdr:colOff>
      <xdr:row>37</xdr:row>
      <xdr:rowOff>111125</xdr:rowOff>
    </xdr:to>
    <xdr:graphicFrame macro="">
      <xdr:nvGraphicFramePr>
        <xdr:cNvPr id="2" name="Gráfico 1">
          <a:extLst>
            <a:ext uri="{FF2B5EF4-FFF2-40B4-BE49-F238E27FC236}">
              <a16:creationId xmlns:a16="http://schemas.microsoft.com/office/drawing/2014/main" id="{04EA49B1-3668-B6C8-8BC7-927C182FC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W16" sqref="W16"/>
    </sheetView>
  </sheetViews>
  <sheetFormatPr baseColWidth="10" defaultColWidth="8.88671875" defaultRowHeight="14.4" x14ac:dyDescent="0.3"/>
  <cols>
    <col min="1" max="1" width="17.5546875" customWidth="1"/>
    <col min="2" max="2" width="14.21875" customWidth="1"/>
    <col min="3" max="3" width="27.21875" hidden="1" customWidth="1"/>
    <col min="4" max="4" width="17.5546875" style="9" hidden="1" customWidth="1"/>
    <col min="5" max="5" width="26.21875" hidden="1" customWidth="1"/>
    <col min="6" max="6" width="11" hidden="1" customWidth="1"/>
    <col min="7" max="7" width="24.33203125" customWidth="1"/>
    <col min="8" max="8" width="44.109375"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J2" t="str">
        <f>_xlfn.CONCAT(F2:G2)</f>
        <v>457 Oak StSan Jose, CA, 95101</v>
      </c>
      <c r="L2" t="str" cm="1">
        <f t="array" ref="L2:M2">_xlfn.TEXTSPLIT(B2," ")</f>
        <v>Pam</v>
      </c>
      <c r="M2" t="str">
        <v>Beesly</v>
      </c>
      <c r="O2" t="str">
        <f>RIGHT(A2,7)</f>
        <v>0123548</v>
      </c>
      <c r="Q2">
        <f>FIND(",", G2)+LEN(", ")</f>
        <v>11</v>
      </c>
      <c r="R2">
        <f>FIND(",",G2,Q2)</f>
        <v>13</v>
      </c>
      <c r="S2" t="str">
        <f>MID(G2,Q2,R2-Q2)</f>
        <v>CA</v>
      </c>
      <c r="T2">
        <f>FIND(",",G2)+2</f>
        <v>11</v>
      </c>
      <c r="U2">
        <f>FIND(",",G2,T2)</f>
        <v>13</v>
      </c>
      <c r="V2" t="str">
        <f>MID(G2,T2,2)</f>
        <v>CA</v>
      </c>
    </row>
    <row r="3" spans="1:22" x14ac:dyDescent="0.3">
      <c r="A3" s="5" t="s">
        <v>71</v>
      </c>
      <c r="B3" s="1" t="s">
        <v>38</v>
      </c>
      <c r="C3" s="1" t="s">
        <v>5</v>
      </c>
      <c r="D3" s="11">
        <v>45055.40662037037</v>
      </c>
      <c r="E3" s="1" t="s">
        <v>39</v>
      </c>
      <c r="F3" s="1" t="s">
        <v>25</v>
      </c>
      <c r="G3" s="1" t="s">
        <v>26</v>
      </c>
      <c r="H3" s="6" t="s">
        <v>14</v>
      </c>
      <c r="J3" t="str">
        <f t="shared" ref="J3:J21" si="0">_xlfn.CONCAT(F3:G3)</f>
        <v>203 Birch StChicago, IL, 60601</v>
      </c>
      <c r="L3" t="str" cm="1">
        <f t="array" ref="L3:M3">_xlfn.TEXTSPLIT(B3," ")</f>
        <v>Michael</v>
      </c>
      <c r="M3" t="str">
        <v>Scott</v>
      </c>
      <c r="O3" t="str">
        <f t="shared" ref="O3:O21" si="1">RIGHT(A3,7)</f>
        <v>0123549</v>
      </c>
      <c r="Q3">
        <f t="shared" ref="Q3:Q21" si="2">FIND(",", G3)+LEN(", ")</f>
        <v>10</v>
      </c>
      <c r="R3">
        <f t="shared" ref="R3:R21" si="3">FIND(",",G3,Q3)</f>
        <v>12</v>
      </c>
      <c r="S3" t="str">
        <f t="shared" ref="S3:S21" si="4">MID(G3,Q3,R3-Q3)</f>
        <v>IL</v>
      </c>
      <c r="T3">
        <f t="shared" ref="T3:T21" si="5">FIND(",",G3)+2</f>
        <v>10</v>
      </c>
      <c r="U3">
        <f t="shared" ref="U3:U21" si="6">FIND(",",G3,T3)</f>
        <v>12</v>
      </c>
      <c r="V3" t="str">
        <f t="shared" ref="V3:V21" si="7">MID(G3,T3,2)</f>
        <v>IL</v>
      </c>
    </row>
    <row r="4" spans="1:22" x14ac:dyDescent="0.3">
      <c r="A4" s="5" t="s">
        <v>73</v>
      </c>
      <c r="B4" s="1" t="s">
        <v>58</v>
      </c>
      <c r="C4" s="1" t="s">
        <v>12</v>
      </c>
      <c r="D4" s="11">
        <v>45128.729710648149</v>
      </c>
      <c r="E4" s="1" t="s">
        <v>59</v>
      </c>
      <c r="F4" s="1" t="s">
        <v>27</v>
      </c>
      <c r="G4" s="1" t="s">
        <v>26</v>
      </c>
      <c r="H4" s="6" t="s">
        <v>6</v>
      </c>
      <c r="J4" t="str">
        <f t="shared" si="0"/>
        <v>790 Pine StChicago, IL, 60601</v>
      </c>
      <c r="L4" t="str" cm="1">
        <f t="array" ref="L4:M4">_xlfn.TEXTSPLIT(B4," ")</f>
        <v>Kevin</v>
      </c>
      <c r="M4" t="str">
        <v>Malone</v>
      </c>
      <c r="O4" t="str">
        <f t="shared" si="1"/>
        <v>0123550</v>
      </c>
      <c r="Q4">
        <f t="shared" si="2"/>
        <v>10</v>
      </c>
      <c r="R4">
        <f t="shared" si="3"/>
        <v>12</v>
      </c>
      <c r="S4" t="str">
        <f t="shared" si="4"/>
        <v>IL</v>
      </c>
      <c r="T4">
        <f t="shared" si="5"/>
        <v>10</v>
      </c>
      <c r="U4">
        <f t="shared" si="6"/>
        <v>12</v>
      </c>
      <c r="V4" t="str">
        <f t="shared" si="7"/>
        <v>IL</v>
      </c>
    </row>
    <row r="5" spans="1:22" x14ac:dyDescent="0.3">
      <c r="A5" s="5" t="s">
        <v>74</v>
      </c>
      <c r="B5" s="1" t="s">
        <v>42</v>
      </c>
      <c r="C5" s="1" t="s">
        <v>5</v>
      </c>
      <c r="D5" s="11">
        <v>45173.302187499998</v>
      </c>
      <c r="E5" s="1" t="s">
        <v>43</v>
      </c>
      <c r="F5" s="1" t="s">
        <v>23</v>
      </c>
      <c r="G5" s="1" t="s">
        <v>24</v>
      </c>
      <c r="H5" s="6" t="s">
        <v>11</v>
      </c>
      <c r="J5" t="str">
        <f t="shared" si="0"/>
        <v>457 Oak StSan Jose, CA, 95101</v>
      </c>
      <c r="L5" t="str" cm="1">
        <f t="array" ref="L5:M5">_xlfn.TEXTSPLIT(B5," ")</f>
        <v>Pam</v>
      </c>
      <c r="M5" t="str">
        <v>Beesly</v>
      </c>
      <c r="O5" t="str">
        <f t="shared" si="1"/>
        <v>0123551</v>
      </c>
      <c r="Q5">
        <f t="shared" si="2"/>
        <v>11</v>
      </c>
      <c r="R5">
        <f t="shared" si="3"/>
        <v>13</v>
      </c>
      <c r="S5" t="str">
        <f t="shared" si="4"/>
        <v>CA</v>
      </c>
      <c r="T5">
        <f t="shared" si="5"/>
        <v>11</v>
      </c>
      <c r="U5">
        <f t="shared" si="6"/>
        <v>13</v>
      </c>
      <c r="V5" t="str">
        <f t="shared" si="7"/>
        <v>CA</v>
      </c>
    </row>
    <row r="6" spans="1:22" x14ac:dyDescent="0.3">
      <c r="A6" s="5" t="s">
        <v>75</v>
      </c>
      <c r="B6" s="1" t="s">
        <v>40</v>
      </c>
      <c r="C6" s="1" t="s">
        <v>7</v>
      </c>
      <c r="D6" s="11">
        <v>45248.70857638889</v>
      </c>
      <c r="E6" s="1" t="s">
        <v>41</v>
      </c>
      <c r="F6" s="1" t="s">
        <v>29</v>
      </c>
      <c r="G6" s="1" t="s">
        <v>30</v>
      </c>
      <c r="H6" s="6" t="s">
        <v>10</v>
      </c>
      <c r="J6" t="str">
        <f t="shared" si="0"/>
        <v>459 Oak StPhiladelphia, PA, 19101</v>
      </c>
      <c r="L6" t="str" cm="1">
        <f t="array" ref="L6:M6">_xlfn.TEXTSPLIT(B6," ")</f>
        <v>Jim</v>
      </c>
      <c r="M6" t="str">
        <v>Halpert</v>
      </c>
      <c r="O6" t="str">
        <f t="shared" si="1"/>
        <v>0123552</v>
      </c>
      <c r="Q6">
        <f t="shared" si="2"/>
        <v>15</v>
      </c>
      <c r="R6">
        <f t="shared" si="3"/>
        <v>17</v>
      </c>
      <c r="S6" t="str">
        <f t="shared" si="4"/>
        <v>PA</v>
      </c>
      <c r="T6">
        <f t="shared" si="5"/>
        <v>15</v>
      </c>
      <c r="U6">
        <f t="shared" si="6"/>
        <v>17</v>
      </c>
      <c r="V6" t="str">
        <f t="shared" si="7"/>
        <v>PA</v>
      </c>
    </row>
    <row r="7" spans="1:22" x14ac:dyDescent="0.3">
      <c r="A7" s="5" t="s">
        <v>76</v>
      </c>
      <c r="B7" s="1" t="s">
        <v>46</v>
      </c>
      <c r="C7" s="1" t="s">
        <v>9</v>
      </c>
      <c r="D7" s="11">
        <v>45302.531921296293</v>
      </c>
      <c r="E7" s="1" t="s">
        <v>47</v>
      </c>
      <c r="F7" s="1" t="s">
        <v>31</v>
      </c>
      <c r="G7" s="1" t="s">
        <v>30</v>
      </c>
      <c r="H7" s="6" t="s">
        <v>15</v>
      </c>
      <c r="J7" t="str">
        <f t="shared" si="0"/>
        <v>204 Birch StPhiladelphia, PA, 19101</v>
      </c>
      <c r="L7" t="str" cm="1">
        <f t="array" ref="L7:M7">_xlfn.TEXTSPLIT(B7," ")</f>
        <v>Ryan</v>
      </c>
      <c r="M7" t="str">
        <v>Howard</v>
      </c>
      <c r="O7" t="str">
        <f t="shared" si="1"/>
        <v>0123553</v>
      </c>
      <c r="Q7">
        <f t="shared" si="2"/>
        <v>15</v>
      </c>
      <c r="R7">
        <f t="shared" si="3"/>
        <v>17</v>
      </c>
      <c r="S7" t="str">
        <f t="shared" si="4"/>
        <v>PA</v>
      </c>
      <c r="T7">
        <f t="shared" si="5"/>
        <v>15</v>
      </c>
      <c r="U7">
        <f t="shared" si="6"/>
        <v>17</v>
      </c>
      <c r="V7" t="str">
        <f t="shared" si="7"/>
        <v>PA</v>
      </c>
    </row>
    <row r="8" spans="1:22" x14ac:dyDescent="0.3">
      <c r="A8" s="5" t="s">
        <v>77</v>
      </c>
      <c r="B8" s="1" t="s">
        <v>58</v>
      </c>
      <c r="C8" s="1" t="s">
        <v>5</v>
      </c>
      <c r="D8" s="11">
        <v>45354.687881944446</v>
      </c>
      <c r="E8" s="1" t="s">
        <v>59</v>
      </c>
      <c r="F8" s="1" t="s">
        <v>27</v>
      </c>
      <c r="G8" s="1" t="s">
        <v>26</v>
      </c>
      <c r="H8" s="6" t="s">
        <v>6</v>
      </c>
      <c r="J8" t="str">
        <f t="shared" si="0"/>
        <v>790 Pine StChicago, IL, 60601</v>
      </c>
      <c r="L8" t="str" cm="1">
        <f t="array" ref="L8:M8">_xlfn.TEXTSPLIT(B8," ")</f>
        <v>Kevin</v>
      </c>
      <c r="M8" t="str">
        <v>Malone</v>
      </c>
      <c r="O8" t="str">
        <f t="shared" si="1"/>
        <v>0123554</v>
      </c>
      <c r="Q8">
        <f t="shared" si="2"/>
        <v>10</v>
      </c>
      <c r="R8">
        <f t="shared" si="3"/>
        <v>12</v>
      </c>
      <c r="S8" t="str">
        <f t="shared" si="4"/>
        <v>IL</v>
      </c>
      <c r="T8">
        <f t="shared" si="5"/>
        <v>10</v>
      </c>
      <c r="U8">
        <f t="shared" si="6"/>
        <v>12</v>
      </c>
      <c r="V8" t="str">
        <f t="shared" si="7"/>
        <v>IL</v>
      </c>
    </row>
    <row r="9" spans="1:22" x14ac:dyDescent="0.3">
      <c r="A9" s="5" t="s">
        <v>78</v>
      </c>
      <c r="B9" s="1" t="s">
        <v>46</v>
      </c>
      <c r="C9" s="1" t="s">
        <v>1</v>
      </c>
      <c r="D9" s="11">
        <v>45408.340810185182</v>
      </c>
      <c r="E9" s="1" t="s">
        <v>47</v>
      </c>
      <c r="F9" s="1" t="s">
        <v>31</v>
      </c>
      <c r="G9" s="1" t="s">
        <v>30</v>
      </c>
      <c r="H9" s="6" t="s">
        <v>15</v>
      </c>
      <c r="J9" t="str">
        <f t="shared" si="0"/>
        <v>204 Birch StPhiladelphia, PA, 19101</v>
      </c>
      <c r="L9" t="str" cm="1">
        <f t="array" ref="L9:M9">_xlfn.TEXTSPLIT(B9," ")</f>
        <v>Ryan</v>
      </c>
      <c r="M9" t="str">
        <v>Howard</v>
      </c>
      <c r="O9" t="str">
        <f t="shared" si="1"/>
        <v>0123555</v>
      </c>
      <c r="Q9">
        <f t="shared" si="2"/>
        <v>15</v>
      </c>
      <c r="R9">
        <f t="shared" si="3"/>
        <v>17</v>
      </c>
      <c r="S9" t="str">
        <f t="shared" si="4"/>
        <v>PA</v>
      </c>
      <c r="T9">
        <f t="shared" si="5"/>
        <v>15</v>
      </c>
      <c r="U9">
        <f t="shared" si="6"/>
        <v>17</v>
      </c>
      <c r="V9" t="str">
        <f t="shared" si="7"/>
        <v>PA</v>
      </c>
    </row>
    <row r="10" spans="1:22" x14ac:dyDescent="0.3">
      <c r="A10" s="5" t="s">
        <v>79</v>
      </c>
      <c r="B10" s="1" t="s">
        <v>50</v>
      </c>
      <c r="C10" s="1" t="s">
        <v>7</v>
      </c>
      <c r="D10" s="11">
        <v>45458.743333333332</v>
      </c>
      <c r="E10" s="1" t="s">
        <v>51</v>
      </c>
      <c r="F10" s="1" t="s">
        <v>33</v>
      </c>
      <c r="G10" s="1" t="s">
        <v>26</v>
      </c>
      <c r="H10" s="6" t="s">
        <v>18</v>
      </c>
      <c r="J10" t="str">
        <f t="shared" si="0"/>
        <v>123 Elm StChicago, IL, 60601</v>
      </c>
      <c r="L10" t="str" cm="1">
        <f t="array" ref="L10:M10">_xlfn.TEXTSPLIT(B10,"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3">
      <c r="A11" s="5" t="s">
        <v>80</v>
      </c>
      <c r="B11" s="1" t="s">
        <v>54</v>
      </c>
      <c r="C11" s="1" t="s">
        <v>12</v>
      </c>
      <c r="D11" s="11">
        <v>45480.608055555553</v>
      </c>
      <c r="E11" s="1" t="s">
        <v>55</v>
      </c>
      <c r="F11" s="1" t="s">
        <v>33</v>
      </c>
      <c r="G11" s="1" t="s">
        <v>32</v>
      </c>
      <c r="H11" s="6" t="s">
        <v>13</v>
      </c>
      <c r="J11" t="str">
        <f t="shared" si="0"/>
        <v>123 Elm StLos Angeles, CA, 90001</v>
      </c>
      <c r="L11" t="str" cm="1">
        <f t="array" ref="L11:M11">_xlfn.TEXTSPLIT(B11,"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3">
      <c r="A12" s="5" t="s">
        <v>81</v>
      </c>
      <c r="B12" s="1" t="s">
        <v>44</v>
      </c>
      <c r="C12" s="1" t="s">
        <v>7</v>
      </c>
      <c r="D12" s="11">
        <v>45455.284930555557</v>
      </c>
      <c r="E12" s="1" t="s">
        <v>45</v>
      </c>
      <c r="F12" s="1" t="s">
        <v>33</v>
      </c>
      <c r="G12" s="1" t="s">
        <v>34</v>
      </c>
      <c r="H12" s="6" t="s">
        <v>17</v>
      </c>
      <c r="J12" t="str">
        <f t="shared" si="0"/>
        <v>123 Elm StSan Diego, CA, 92101</v>
      </c>
      <c r="L12" t="str" cm="1">
        <f t="array" ref="L12:M12">_xlfn.TEXTSPLIT(B12," ")</f>
        <v>Dwight</v>
      </c>
      <c r="M12" t="str">
        <v>Schrute</v>
      </c>
      <c r="O12" t="str">
        <f t="shared" si="1"/>
        <v>0123558</v>
      </c>
      <c r="Q12">
        <f t="shared" si="2"/>
        <v>12</v>
      </c>
      <c r="R12">
        <f t="shared" si="3"/>
        <v>14</v>
      </c>
      <c r="S12" t="str">
        <f t="shared" si="4"/>
        <v>CA</v>
      </c>
      <c r="T12">
        <f t="shared" si="5"/>
        <v>12</v>
      </c>
      <c r="U12">
        <f t="shared" si="6"/>
        <v>14</v>
      </c>
      <c r="V12" t="str">
        <f t="shared" si="7"/>
        <v>CA</v>
      </c>
    </row>
    <row r="13" spans="1:22" x14ac:dyDescent="0.3">
      <c r="A13" s="5" t="s">
        <v>82</v>
      </c>
      <c r="B13" s="1" t="s">
        <v>56</v>
      </c>
      <c r="C13" s="1" t="s">
        <v>9</v>
      </c>
      <c r="D13" s="11">
        <v>44951.552141203705</v>
      </c>
      <c r="E13" s="1" t="s">
        <v>57</v>
      </c>
      <c r="F13" s="1" t="s">
        <v>35</v>
      </c>
      <c r="G13" s="1" t="s">
        <v>26</v>
      </c>
      <c r="H13" s="6" t="s">
        <v>16</v>
      </c>
      <c r="J13" t="str">
        <f t="shared" si="0"/>
        <v>202 Birch StChicago, IL, 60601</v>
      </c>
      <c r="L13" t="str" cm="1">
        <f t="array" ref="L13:M13">_xlfn.TEXTSPLIT(B13," ")</f>
        <v>Oscar</v>
      </c>
      <c r="M13" t="str">
        <v>Martinez</v>
      </c>
      <c r="O13" t="str">
        <f t="shared" si="1"/>
        <v>0123559</v>
      </c>
      <c r="Q13">
        <f t="shared" si="2"/>
        <v>10</v>
      </c>
      <c r="R13">
        <f t="shared" si="3"/>
        <v>12</v>
      </c>
      <c r="S13" t="str">
        <f t="shared" si="4"/>
        <v>IL</v>
      </c>
      <c r="T13">
        <f t="shared" si="5"/>
        <v>10</v>
      </c>
      <c r="U13">
        <f t="shared" si="6"/>
        <v>12</v>
      </c>
      <c r="V13" t="str">
        <f t="shared" si="7"/>
        <v>IL</v>
      </c>
    </row>
    <row r="14" spans="1:22" x14ac:dyDescent="0.3">
      <c r="A14" s="5" t="s">
        <v>83</v>
      </c>
      <c r="B14" s="1" t="s">
        <v>46</v>
      </c>
      <c r="C14" s="1" t="s">
        <v>12</v>
      </c>
      <c r="D14" s="11">
        <v>45002.490034722221</v>
      </c>
      <c r="E14" s="1" t="s">
        <v>47</v>
      </c>
      <c r="F14" s="1" t="s">
        <v>31</v>
      </c>
      <c r="G14" s="1" t="s">
        <v>30</v>
      </c>
      <c r="H14" s="6" t="s">
        <v>15</v>
      </c>
      <c r="J14" t="str">
        <f t="shared" si="0"/>
        <v>204 Birch StPhiladelphia, PA, 19101</v>
      </c>
      <c r="L14" t="str" cm="1">
        <f t="array" ref="L14:M14">_xlfn.TEXTSPLIT(B14," ")</f>
        <v>Ryan</v>
      </c>
      <c r="M14" t="str">
        <v>Howard</v>
      </c>
      <c r="O14" t="str">
        <f t="shared" si="1"/>
        <v>0123560</v>
      </c>
      <c r="Q14">
        <f t="shared" si="2"/>
        <v>15</v>
      </c>
      <c r="R14">
        <f t="shared" si="3"/>
        <v>17</v>
      </c>
      <c r="S14" t="str">
        <f t="shared" si="4"/>
        <v>PA</v>
      </c>
      <c r="T14">
        <f t="shared" si="5"/>
        <v>15</v>
      </c>
      <c r="U14">
        <f t="shared" si="6"/>
        <v>17</v>
      </c>
      <c r="V14" t="str">
        <f t="shared" si="7"/>
        <v>PA</v>
      </c>
    </row>
    <row r="15" spans="1:22" x14ac:dyDescent="0.3">
      <c r="A15" s="5" t="s">
        <v>84</v>
      </c>
      <c r="B15" s="1" t="s">
        <v>52</v>
      </c>
      <c r="C15" s="1" t="s">
        <v>9</v>
      </c>
      <c r="D15" s="11">
        <v>45078.417256944442</v>
      </c>
      <c r="E15" s="1" t="s">
        <v>53</v>
      </c>
      <c r="F15" s="1" t="s">
        <v>33</v>
      </c>
      <c r="G15" s="1" t="s">
        <v>26</v>
      </c>
      <c r="H15" s="6" t="s">
        <v>19</v>
      </c>
      <c r="J15" t="str">
        <f t="shared" si="0"/>
        <v>123 Elm StChicago, IL, 60601</v>
      </c>
      <c r="L15" t="str" cm="1">
        <f t="array" ref="L15:M15">_xlfn.TEXTSPLIT(B15," ")</f>
        <v>Phyllis</v>
      </c>
      <c r="M15" t="str">
        <v>Vance</v>
      </c>
      <c r="O15" t="str">
        <f t="shared" si="1"/>
        <v>0123561</v>
      </c>
      <c r="Q15">
        <f t="shared" si="2"/>
        <v>10</v>
      </c>
      <c r="R15">
        <f t="shared" si="3"/>
        <v>12</v>
      </c>
      <c r="S15" t="str">
        <f t="shared" si="4"/>
        <v>IL</v>
      </c>
      <c r="T15">
        <f t="shared" si="5"/>
        <v>10</v>
      </c>
      <c r="U15">
        <f t="shared" si="6"/>
        <v>12</v>
      </c>
      <c r="V15" t="str">
        <f t="shared" si="7"/>
        <v>IL</v>
      </c>
    </row>
    <row r="16" spans="1:22" x14ac:dyDescent="0.3">
      <c r="A16" s="5" t="s">
        <v>85</v>
      </c>
      <c r="B16" s="1" t="s">
        <v>60</v>
      </c>
      <c r="C16" s="1" t="s">
        <v>9</v>
      </c>
      <c r="D16" s="11">
        <v>45168.729328703703</v>
      </c>
      <c r="E16" s="1" t="s">
        <v>61</v>
      </c>
      <c r="F16" s="1" t="s">
        <v>28</v>
      </c>
      <c r="G16" s="1" t="s">
        <v>26</v>
      </c>
      <c r="H16" s="6" t="s">
        <v>20</v>
      </c>
      <c r="J16" t="str">
        <f t="shared" si="0"/>
        <v>456 Oak StChicago, IL, 60601</v>
      </c>
      <c r="L16" t="str" cm="1">
        <f t="array" ref="L16:M16">_xlfn.TEXTSPLIT(B16," ")</f>
        <v>Meredith</v>
      </c>
      <c r="M16" t="str">
        <v>Palmer</v>
      </c>
      <c r="O16" t="str">
        <f t="shared" si="1"/>
        <v>0123562</v>
      </c>
      <c r="Q16">
        <f t="shared" si="2"/>
        <v>10</v>
      </c>
      <c r="R16">
        <f t="shared" si="3"/>
        <v>12</v>
      </c>
      <c r="S16" t="str">
        <f t="shared" si="4"/>
        <v>IL</v>
      </c>
      <c r="T16">
        <f t="shared" si="5"/>
        <v>10</v>
      </c>
      <c r="U16">
        <f t="shared" si="6"/>
        <v>12</v>
      </c>
      <c r="V16" t="str">
        <f t="shared" si="7"/>
        <v>IL</v>
      </c>
    </row>
    <row r="17" spans="1:22" x14ac:dyDescent="0.3">
      <c r="A17" s="5" t="s">
        <v>86</v>
      </c>
      <c r="B17" s="1" t="s">
        <v>38</v>
      </c>
      <c r="C17" s="1" t="s">
        <v>7</v>
      </c>
      <c r="D17" s="11">
        <v>45218.319780092592</v>
      </c>
      <c r="E17" s="1" t="s">
        <v>39</v>
      </c>
      <c r="F17" s="1" t="s">
        <v>25</v>
      </c>
      <c r="G17" s="1" t="s">
        <v>37</v>
      </c>
      <c r="H17" s="6" t="s">
        <v>14</v>
      </c>
      <c r="J17" t="str">
        <f t="shared" si="0"/>
        <v>203 Birch StChicago, IL, 60602</v>
      </c>
      <c r="L17" t="str" cm="1">
        <f t="array" ref="L17:M17">_xlfn.TEXTSPLIT(B17," ")</f>
        <v>Michael</v>
      </c>
      <c r="M17" t="str">
        <v>Scott</v>
      </c>
      <c r="O17" t="str">
        <f t="shared" si="1"/>
        <v>0123563</v>
      </c>
      <c r="Q17">
        <f t="shared" si="2"/>
        <v>10</v>
      </c>
      <c r="R17">
        <f t="shared" si="3"/>
        <v>12</v>
      </c>
      <c r="S17" t="str">
        <f t="shared" si="4"/>
        <v>IL</v>
      </c>
      <c r="T17">
        <f t="shared" si="5"/>
        <v>10</v>
      </c>
      <c r="U17">
        <f t="shared" si="6"/>
        <v>12</v>
      </c>
      <c r="V17" t="str">
        <f t="shared" si="7"/>
        <v>IL</v>
      </c>
    </row>
    <row r="18" spans="1:22" x14ac:dyDescent="0.3">
      <c r="A18" s="5" t="s">
        <v>87</v>
      </c>
      <c r="B18" s="1" t="s">
        <v>40</v>
      </c>
      <c r="C18" s="1" t="s">
        <v>12</v>
      </c>
      <c r="D18" s="11">
        <v>45350.719236111108</v>
      </c>
      <c r="E18" s="1" t="s">
        <v>41</v>
      </c>
      <c r="F18" s="1" t="s">
        <v>29</v>
      </c>
      <c r="G18" s="1" t="s">
        <v>30</v>
      </c>
      <c r="H18" s="6" t="s">
        <v>10</v>
      </c>
      <c r="J18" t="str">
        <f t="shared" si="0"/>
        <v>459 Oak StPhiladelphia, PA, 19101</v>
      </c>
      <c r="L18" t="str" cm="1">
        <f t="array" ref="L18:M18">_xlfn.TEXTSPLIT(B18," ")</f>
        <v>Jim</v>
      </c>
      <c r="M18" t="str">
        <v>Halpert</v>
      </c>
      <c r="O18" t="str">
        <f t="shared" si="1"/>
        <v>0123564</v>
      </c>
      <c r="Q18">
        <f t="shared" si="2"/>
        <v>15</v>
      </c>
      <c r="R18">
        <f t="shared" si="3"/>
        <v>17</v>
      </c>
      <c r="S18" t="str">
        <f t="shared" si="4"/>
        <v>PA</v>
      </c>
      <c r="T18">
        <f t="shared" si="5"/>
        <v>15</v>
      </c>
      <c r="U18">
        <f t="shared" si="6"/>
        <v>17</v>
      </c>
      <c r="V18" t="str">
        <f t="shared" si="7"/>
        <v>PA</v>
      </c>
    </row>
    <row r="19" spans="1:22" x14ac:dyDescent="0.3">
      <c r="A19" s="5" t="s">
        <v>88</v>
      </c>
      <c r="B19" s="1" t="s">
        <v>48</v>
      </c>
      <c r="C19" s="1" t="s">
        <v>7</v>
      </c>
      <c r="D19" s="11">
        <v>45418.726354166669</v>
      </c>
      <c r="E19" s="1" t="s">
        <v>49</v>
      </c>
      <c r="F19" s="1" t="s">
        <v>28</v>
      </c>
      <c r="G19" s="1" t="s">
        <v>36</v>
      </c>
      <c r="H19" s="6" t="s">
        <v>8</v>
      </c>
      <c r="J19" t="str">
        <f t="shared" si="0"/>
        <v>456 Oak StNew York, NY, 10001</v>
      </c>
      <c r="L19" t="str" cm="1">
        <f t="array" ref="L19:M19">_xlfn.TEXTSPLIT(B19," ")</f>
        <v>Kelly</v>
      </c>
      <c r="M19" t="str">
        <v>Kapoor</v>
      </c>
      <c r="O19" t="str">
        <f t="shared" si="1"/>
        <v>0123565</v>
      </c>
      <c r="Q19">
        <f t="shared" si="2"/>
        <v>11</v>
      </c>
      <c r="R19">
        <f t="shared" si="3"/>
        <v>13</v>
      </c>
      <c r="S19" t="str">
        <f t="shared" si="4"/>
        <v>NY</v>
      </c>
      <c r="T19">
        <f t="shared" si="5"/>
        <v>11</v>
      </c>
      <c r="U19">
        <f t="shared" si="6"/>
        <v>13</v>
      </c>
      <c r="V19" t="str">
        <f t="shared" si="7"/>
        <v>NY</v>
      </c>
    </row>
    <row r="20" spans="1:22" x14ac:dyDescent="0.3">
      <c r="A20" s="5" t="s">
        <v>89</v>
      </c>
      <c r="B20" s="1" t="s">
        <v>40</v>
      </c>
      <c r="C20" s="1" t="s">
        <v>9</v>
      </c>
      <c r="D20" s="11">
        <v>45496.291701388887</v>
      </c>
      <c r="E20" s="1" t="s">
        <v>41</v>
      </c>
      <c r="F20" s="1" t="s">
        <v>29</v>
      </c>
      <c r="G20" s="1" t="s">
        <v>30</v>
      </c>
      <c r="H20" s="6" t="s">
        <v>10</v>
      </c>
      <c r="J20" t="str">
        <f t="shared" si="0"/>
        <v>459 Oak StPhiladelphia, PA, 19101</v>
      </c>
      <c r="L20" t="str" cm="1">
        <f t="array" ref="L20:M20">_xlfn.TEXTSPLIT(B20," ")</f>
        <v>Jim</v>
      </c>
      <c r="M20" t="str">
        <v>Halpert</v>
      </c>
      <c r="O20" t="str">
        <f t="shared" si="1"/>
        <v>0123566</v>
      </c>
      <c r="Q20">
        <f t="shared" si="2"/>
        <v>15</v>
      </c>
      <c r="R20">
        <f t="shared" si="3"/>
        <v>17</v>
      </c>
      <c r="S20" t="str">
        <f t="shared" si="4"/>
        <v>PA</v>
      </c>
      <c r="T20">
        <f t="shared" si="5"/>
        <v>15</v>
      </c>
      <c r="U20">
        <f t="shared" si="6"/>
        <v>17</v>
      </c>
      <c r="V20" t="str">
        <f t="shared" si="7"/>
        <v>PA</v>
      </c>
    </row>
    <row r="21" spans="1:22" ht="15" thickBot="1" x14ac:dyDescent="0.35">
      <c r="A21" s="5" t="s">
        <v>90</v>
      </c>
      <c r="B21" s="7" t="s">
        <v>40</v>
      </c>
      <c r="C21" s="7" t="s">
        <v>9</v>
      </c>
      <c r="D21" s="12">
        <v>45422.739884259259</v>
      </c>
      <c r="E21" s="7" t="s">
        <v>41</v>
      </c>
      <c r="F21" s="7" t="s">
        <v>29</v>
      </c>
      <c r="G21" s="7" t="s">
        <v>36</v>
      </c>
      <c r="H21" s="8" t="s">
        <v>10</v>
      </c>
      <c r="J21" t="str">
        <f t="shared" si="0"/>
        <v>459 Oak StNew York, NY, 10001</v>
      </c>
      <c r="L21" t="str" cm="1">
        <f t="array" ref="L21:M21">_xlfn.TEXTSPLIT(B21," ")</f>
        <v>Jim</v>
      </c>
      <c r="M21" t="str">
        <v>Halpert</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baseColWidth="10" defaultColWidth="8.88671875"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baseColWidth="10" defaultColWidth="8.88671875"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baseColWidth="10" defaultColWidth="8.88671875"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D41"/>
  <sheetViews>
    <sheetView tabSelected="1" topLeftCell="A10" zoomScale="120" zoomScaleNormal="120" workbookViewId="0">
      <selection activeCell="C32" sqref="C32"/>
    </sheetView>
  </sheetViews>
  <sheetFormatPr baseColWidth="10" defaultColWidth="8.88671875" defaultRowHeight="14.4" x14ac:dyDescent="0.3"/>
  <cols>
    <col min="1" max="1" width="24.44140625" customWidth="1"/>
  </cols>
  <sheetData>
    <row r="2" spans="1:56" x14ac:dyDescent="0.3">
      <c r="A2" s="15" t="s">
        <v>94</v>
      </c>
      <c r="B2" s="16"/>
    </row>
    <row r="3" spans="1:56" x14ac:dyDescent="0.3">
      <c r="A3" t="str">
        <f>_xlfn.CONCAT(Data!H2:H21)</f>
        <v>Kafka, DataBricks, Spark, Python, GCPPower BI, GCP, Airflow, Hadoop, RAzure, Java, SQL, DataBricksKafka, DataBricks, Spark, Python, GCPDataBricks, Hadoop, JavaSnowflake, Airflow, DataBricksAzure, Java, SQL, DataBricksSnowflake, Airflow, DataBricksScala, Azure, R, KafkaSnowflake, Excel, ScalaExcel, Power BI, RScala, R, Hadoop, Power BI, SQLSnowflake, Airflow, DataBricksJava, Scala, RDataBricks, Azure, ScalaPower BI, GCP, Airflow, Hadoop, RDataBricks, Hadoop, JavaSnowflake, Power BI, Tableau, Airflow, SQLDataBricks, Hadoop, JavaDataBricks, Hadoop, Java</v>
      </c>
    </row>
    <row r="5" spans="1:56" x14ac:dyDescent="0.3">
      <c r="A5" s="15" t="s">
        <v>67</v>
      </c>
      <c r="B5" s="16"/>
    </row>
    <row r="6" spans="1:56" x14ac:dyDescent="0.3">
      <c r="A6" t="str" cm="1">
        <f t="array" ref="A6:BD6">_xlfn.TEXTSPLIT(A3,",")</f>
        <v>Kafka</v>
      </c>
      <c r="B6" t="str">
        <v xml:space="preserve"> DataBricks</v>
      </c>
      <c r="C6" t="str">
        <v xml:space="preserve"> Spark</v>
      </c>
      <c r="D6" t="str">
        <v xml:space="preserve"> Python</v>
      </c>
      <c r="E6" t="str">
        <v xml:space="preserve"> GCPPower BI</v>
      </c>
      <c r="F6" t="str">
        <v xml:space="preserve"> GCP</v>
      </c>
      <c r="G6" t="str">
        <v xml:space="preserve"> Airflow</v>
      </c>
      <c r="H6" t="str">
        <v xml:space="preserve"> Hadoop</v>
      </c>
      <c r="I6" t="str">
        <v xml:space="preserve"> RAzure</v>
      </c>
      <c r="J6" t="str">
        <v xml:space="preserve"> Java</v>
      </c>
      <c r="K6" t="str">
        <v xml:space="preserve"> SQL</v>
      </c>
      <c r="L6" t="str">
        <v xml:space="preserve"> DataBricksKafka</v>
      </c>
      <c r="M6" t="str">
        <v xml:space="preserve"> DataBricks</v>
      </c>
      <c r="N6" t="str">
        <v xml:space="preserve"> Spark</v>
      </c>
      <c r="O6" t="str">
        <v xml:space="preserve"> Python</v>
      </c>
      <c r="P6" t="str">
        <v xml:space="preserve"> GCPDataBricks</v>
      </c>
      <c r="Q6" t="str">
        <v xml:space="preserve"> Hadoop</v>
      </c>
      <c r="R6" t="str">
        <v xml:space="preserve"> JavaSnowflake</v>
      </c>
      <c r="S6" t="str">
        <v xml:space="preserve"> Airflow</v>
      </c>
      <c r="T6" t="str">
        <v xml:space="preserve"> DataBricksAzure</v>
      </c>
      <c r="U6" t="str">
        <v xml:space="preserve"> Java</v>
      </c>
      <c r="V6" t="str">
        <v xml:space="preserve"> SQL</v>
      </c>
      <c r="W6" t="str">
        <v xml:space="preserve"> DataBricksSnowflake</v>
      </c>
      <c r="X6" t="str">
        <v xml:space="preserve"> Airflow</v>
      </c>
      <c r="Y6" t="str">
        <v xml:space="preserve"> DataBricksScala</v>
      </c>
      <c r="Z6" t="str">
        <v xml:space="preserve"> Azure</v>
      </c>
      <c r="AA6" t="str">
        <v xml:space="preserve"> R</v>
      </c>
      <c r="AB6" t="str">
        <v xml:space="preserve"> KafkaSnowflake</v>
      </c>
      <c r="AC6" t="str">
        <v xml:space="preserve"> Excel</v>
      </c>
      <c r="AD6" t="str">
        <v xml:space="preserve"> ScalaExcel</v>
      </c>
      <c r="AE6" t="str">
        <v xml:space="preserve"> Power BI</v>
      </c>
      <c r="AF6" t="str">
        <v xml:space="preserve"> RScala</v>
      </c>
      <c r="AG6" t="str">
        <v xml:space="preserve"> R</v>
      </c>
      <c r="AH6" t="str">
        <v xml:space="preserve"> Hadoop</v>
      </c>
      <c r="AI6" t="str">
        <v xml:space="preserve"> Power BI</v>
      </c>
      <c r="AJ6" t="str">
        <v xml:space="preserve"> SQLSnowflake</v>
      </c>
      <c r="AK6" t="str">
        <v xml:space="preserve"> Airflow</v>
      </c>
      <c r="AL6" t="str">
        <v xml:space="preserve"> DataBricksJava</v>
      </c>
      <c r="AM6" t="str">
        <v xml:space="preserve"> Scala</v>
      </c>
      <c r="AN6" t="str">
        <v xml:space="preserve"> RDataBricks</v>
      </c>
      <c r="AO6" t="str">
        <v xml:space="preserve"> Azure</v>
      </c>
      <c r="AP6" t="str">
        <v xml:space="preserve"> ScalaPower BI</v>
      </c>
      <c r="AQ6" t="str">
        <v xml:space="preserve"> GCP</v>
      </c>
      <c r="AR6" t="str">
        <v xml:space="preserve"> Airflow</v>
      </c>
      <c r="AS6" t="str">
        <v xml:space="preserve"> Hadoop</v>
      </c>
      <c r="AT6" t="str">
        <v xml:space="preserve"> RDataBricks</v>
      </c>
      <c r="AU6" t="str">
        <v xml:space="preserve"> Hadoop</v>
      </c>
      <c r="AV6" t="str">
        <v xml:space="preserve"> JavaSnowflake</v>
      </c>
      <c r="AW6" t="str">
        <v xml:space="preserve"> Power BI</v>
      </c>
      <c r="AX6" t="str">
        <v xml:space="preserve"> Tableau</v>
      </c>
      <c r="AY6" t="str">
        <v xml:space="preserve"> Airflow</v>
      </c>
      <c r="AZ6" t="str">
        <v xml:space="preserve"> SQLDataBricks</v>
      </c>
      <c r="BA6" t="str">
        <v xml:space="preserve"> Hadoop</v>
      </c>
      <c r="BB6" t="str">
        <v xml:space="preserve"> JavaDataBricks</v>
      </c>
      <c r="BC6" t="str">
        <v xml:space="preserve"> Hadoop</v>
      </c>
      <c r="BD6" t="str">
        <v xml:space="preserve"> Java</v>
      </c>
    </row>
    <row r="8" spans="1:56" x14ac:dyDescent="0.3">
      <c r="A8" s="15" t="s">
        <v>68</v>
      </c>
      <c r="B8" s="15" t="s">
        <v>93</v>
      </c>
      <c r="C8" s="16"/>
      <c r="D8" s="16"/>
      <c r="E8" s="16"/>
      <c r="F8" s="16"/>
    </row>
    <row r="9" spans="1:56" x14ac:dyDescent="0.3">
      <c r="A9" s="1" t="str" cm="1">
        <f t="array" ref="A9:A41">_xlfn.UNIQUE(TRANSPOSE(6:6))</f>
        <v>Kafka</v>
      </c>
      <c r="B9" s="1">
        <f>COUNTIF($6:$6,A9)</f>
        <v>1</v>
      </c>
    </row>
    <row r="10" spans="1:56" x14ac:dyDescent="0.3">
      <c r="A10" s="1" t="str">
        <v xml:space="preserve"> DataBricks</v>
      </c>
      <c r="B10" s="1">
        <f t="shared" ref="B10:B41" si="0">COUNTIF($6:$6,A10)</f>
        <v>2</v>
      </c>
    </row>
    <row r="11" spans="1:56" x14ac:dyDescent="0.3">
      <c r="A11" s="1" t="str">
        <v xml:space="preserve"> Spark</v>
      </c>
      <c r="B11" s="1">
        <f t="shared" si="0"/>
        <v>2</v>
      </c>
    </row>
    <row r="12" spans="1:56" x14ac:dyDescent="0.3">
      <c r="A12" s="1" t="str">
        <v xml:space="preserve"> Python</v>
      </c>
      <c r="B12" s="1">
        <f t="shared" si="0"/>
        <v>2</v>
      </c>
    </row>
    <row r="13" spans="1:56" x14ac:dyDescent="0.3">
      <c r="A13" s="1" t="str">
        <v xml:space="preserve"> GCPPower BI</v>
      </c>
      <c r="B13" s="1">
        <f t="shared" si="0"/>
        <v>1</v>
      </c>
    </row>
    <row r="14" spans="1:56" x14ac:dyDescent="0.3">
      <c r="A14" s="1" t="str">
        <v xml:space="preserve"> GCP</v>
      </c>
      <c r="B14" s="1">
        <f t="shared" si="0"/>
        <v>2</v>
      </c>
    </row>
    <row r="15" spans="1:56" x14ac:dyDescent="0.3">
      <c r="A15" s="1" t="str">
        <v xml:space="preserve"> Airflow</v>
      </c>
      <c r="B15" s="1">
        <f t="shared" si="0"/>
        <v>6</v>
      </c>
    </row>
    <row r="16" spans="1:56" x14ac:dyDescent="0.3">
      <c r="A16" s="1" t="str">
        <v xml:space="preserve"> Hadoop</v>
      </c>
      <c r="B16" s="1">
        <f t="shared" si="0"/>
        <v>7</v>
      </c>
    </row>
    <row r="17" spans="1:2" x14ac:dyDescent="0.3">
      <c r="A17" s="1" t="str">
        <v xml:space="preserve"> RAzure</v>
      </c>
      <c r="B17" s="1">
        <f t="shared" si="0"/>
        <v>1</v>
      </c>
    </row>
    <row r="18" spans="1:2" x14ac:dyDescent="0.3">
      <c r="A18" s="1" t="str">
        <v xml:space="preserve"> Java</v>
      </c>
      <c r="B18" s="1">
        <f t="shared" si="0"/>
        <v>3</v>
      </c>
    </row>
    <row r="19" spans="1:2" x14ac:dyDescent="0.3">
      <c r="A19" s="1" t="str">
        <v xml:space="preserve"> SQL</v>
      </c>
      <c r="B19" s="1">
        <f t="shared" si="0"/>
        <v>2</v>
      </c>
    </row>
    <row r="20" spans="1:2" x14ac:dyDescent="0.3">
      <c r="A20" s="1" t="str">
        <v xml:space="preserve"> DataBricksKafka</v>
      </c>
      <c r="B20" s="1">
        <f t="shared" si="0"/>
        <v>1</v>
      </c>
    </row>
    <row r="21" spans="1:2" x14ac:dyDescent="0.3">
      <c r="A21" s="1" t="str">
        <v xml:space="preserve"> GCPDataBricks</v>
      </c>
      <c r="B21" s="1">
        <f t="shared" si="0"/>
        <v>1</v>
      </c>
    </row>
    <row r="22" spans="1:2" x14ac:dyDescent="0.3">
      <c r="A22" s="1" t="str">
        <v xml:space="preserve"> JavaSnowflake</v>
      </c>
      <c r="B22" s="1">
        <f t="shared" si="0"/>
        <v>2</v>
      </c>
    </row>
    <row r="23" spans="1:2" x14ac:dyDescent="0.3">
      <c r="A23" s="1" t="str">
        <v xml:space="preserve"> DataBricksAzure</v>
      </c>
      <c r="B23" s="1">
        <f t="shared" si="0"/>
        <v>1</v>
      </c>
    </row>
    <row r="24" spans="1:2" x14ac:dyDescent="0.3">
      <c r="A24" s="1" t="str">
        <v xml:space="preserve"> DataBricksSnowflake</v>
      </c>
      <c r="B24" s="1">
        <f t="shared" si="0"/>
        <v>1</v>
      </c>
    </row>
    <row r="25" spans="1:2" x14ac:dyDescent="0.3">
      <c r="A25" s="1" t="str">
        <v xml:space="preserve"> DataBricksScala</v>
      </c>
      <c r="B25" s="1">
        <f t="shared" si="0"/>
        <v>1</v>
      </c>
    </row>
    <row r="26" spans="1:2" x14ac:dyDescent="0.3">
      <c r="A26" t="str">
        <v xml:space="preserve"> Azure</v>
      </c>
      <c r="B26" s="1">
        <f t="shared" si="0"/>
        <v>2</v>
      </c>
    </row>
    <row r="27" spans="1:2" x14ac:dyDescent="0.3">
      <c r="A27" t="str">
        <v xml:space="preserve"> R</v>
      </c>
      <c r="B27" s="1">
        <f t="shared" si="0"/>
        <v>2</v>
      </c>
    </row>
    <row r="28" spans="1:2" x14ac:dyDescent="0.3">
      <c r="A28" t="str">
        <v xml:space="preserve"> KafkaSnowflake</v>
      </c>
      <c r="B28" s="1">
        <f t="shared" si="0"/>
        <v>1</v>
      </c>
    </row>
    <row r="29" spans="1:2" x14ac:dyDescent="0.3">
      <c r="A29" t="str">
        <v xml:space="preserve"> Excel</v>
      </c>
      <c r="B29" s="1">
        <f t="shared" si="0"/>
        <v>1</v>
      </c>
    </row>
    <row r="30" spans="1:2" x14ac:dyDescent="0.3">
      <c r="A30" t="str">
        <v xml:space="preserve"> ScalaExcel</v>
      </c>
      <c r="B30" s="1">
        <f t="shared" si="0"/>
        <v>1</v>
      </c>
    </row>
    <row r="31" spans="1:2" x14ac:dyDescent="0.3">
      <c r="A31" t="str">
        <v xml:space="preserve"> Power BI</v>
      </c>
      <c r="B31" s="1">
        <f t="shared" si="0"/>
        <v>3</v>
      </c>
    </row>
    <row r="32" spans="1:2" x14ac:dyDescent="0.3">
      <c r="A32" t="str">
        <v xml:space="preserve"> RScala</v>
      </c>
      <c r="B32" s="1">
        <f t="shared" si="0"/>
        <v>1</v>
      </c>
    </row>
    <row r="33" spans="1:2" x14ac:dyDescent="0.3">
      <c r="A33" t="str">
        <v xml:space="preserve"> SQLSnowflake</v>
      </c>
      <c r="B33" s="1">
        <f t="shared" si="0"/>
        <v>1</v>
      </c>
    </row>
    <row r="34" spans="1:2" x14ac:dyDescent="0.3">
      <c r="A34" t="str">
        <v xml:space="preserve"> DataBricksJava</v>
      </c>
      <c r="B34" s="1">
        <f t="shared" si="0"/>
        <v>1</v>
      </c>
    </row>
    <row r="35" spans="1:2" x14ac:dyDescent="0.3">
      <c r="A35" t="str">
        <v xml:space="preserve"> Scala</v>
      </c>
      <c r="B35" s="1">
        <f t="shared" si="0"/>
        <v>1</v>
      </c>
    </row>
    <row r="36" spans="1:2" x14ac:dyDescent="0.3">
      <c r="A36" t="str">
        <v xml:space="preserve"> RDataBricks</v>
      </c>
      <c r="B36" s="1">
        <f t="shared" si="0"/>
        <v>2</v>
      </c>
    </row>
    <row r="37" spans="1:2" x14ac:dyDescent="0.3">
      <c r="A37" t="str">
        <v xml:space="preserve"> ScalaPower BI</v>
      </c>
      <c r="B37" s="1">
        <f t="shared" si="0"/>
        <v>1</v>
      </c>
    </row>
    <row r="38" spans="1:2" x14ac:dyDescent="0.3">
      <c r="A38" t="str">
        <v xml:space="preserve"> Tableau</v>
      </c>
      <c r="B38" s="1">
        <f t="shared" si="0"/>
        <v>1</v>
      </c>
    </row>
    <row r="39" spans="1:2" x14ac:dyDescent="0.3">
      <c r="A39" t="str">
        <v xml:space="preserve"> SQLDataBricks</v>
      </c>
      <c r="B39" s="1">
        <f t="shared" si="0"/>
        <v>1</v>
      </c>
    </row>
    <row r="40" spans="1:2" x14ac:dyDescent="0.3">
      <c r="A40" t="str">
        <v xml:space="preserve"> JavaDataBricks</v>
      </c>
      <c r="B40" s="1">
        <f t="shared" si="0"/>
        <v>1</v>
      </c>
    </row>
    <row r="41" spans="1:2" x14ac:dyDescent="0.3">
      <c r="A41">
        <v>0</v>
      </c>
      <c r="B41"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Blay Cervantes</cp:lastModifiedBy>
  <dcterms:created xsi:type="dcterms:W3CDTF">2015-06-05T18:17:20Z</dcterms:created>
  <dcterms:modified xsi:type="dcterms:W3CDTF">2025-11-05T10:37:59Z</dcterms:modified>
</cp:coreProperties>
</file>