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opietario\Documents\Otros\Excel\Excel_Data_Analytics_Course-main\Excel_Data_Analytics_Course-main\2_Formulas_Functions\"/>
    </mc:Choice>
  </mc:AlternateContent>
  <xr:revisionPtr revIDLastSave="0" documentId="13_ncr:1_{CC862310-E31A-43FD-8637-0ECC44980D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" i="8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T2" i="8"/>
  <c r="V2" i="8"/>
  <c r="U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R3" i="8" a="1"/>
  <c r="R3" i="8" s="1"/>
  <c r="R2" i="8" a="1"/>
  <c r="R2" i="8" s="1"/>
  <c r="R4" i="8" a="1"/>
  <c r="R4" i="8" s="1"/>
  <c r="R5" i="8" a="1"/>
  <c r="R5" i="8" s="1"/>
  <c r="R6" i="8" a="1"/>
  <c r="R6" i="8" s="1"/>
  <c r="R7" i="8" a="1"/>
  <c r="R7" i="8" s="1"/>
  <c r="R8" i="8" a="1"/>
  <c r="R8" i="8" s="1"/>
  <c r="R9" i="8" a="1"/>
  <c r="R9" i="8" s="1"/>
  <c r="R10" i="8" a="1"/>
  <c r="R10" i="8" s="1"/>
  <c r="R11" i="8" a="1"/>
  <c r="R11" i="8" s="1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21" i="8" a="1"/>
  <c r="R21" i="8" s="1"/>
  <c r="P2" i="8"/>
  <c r="J3" i="8"/>
  <c r="K3" i="8"/>
  <c r="L3" i="8"/>
  <c r="J4" i="8"/>
  <c r="K4" i="8"/>
  <c r="L4" i="8"/>
  <c r="J5" i="8"/>
  <c r="K5" i="8"/>
  <c r="L5" i="8"/>
  <c r="J6" i="8"/>
  <c r="K6" i="8"/>
  <c r="L6" i="8"/>
  <c r="J7" i="8"/>
  <c r="K7" i="8"/>
  <c r="L7" i="8"/>
  <c r="J8" i="8"/>
  <c r="K8" i="8"/>
  <c r="L8" i="8"/>
  <c r="J9" i="8"/>
  <c r="K9" i="8"/>
  <c r="L9" i="8"/>
  <c r="J10" i="8"/>
  <c r="K10" i="8"/>
  <c r="L10" i="8"/>
  <c r="J11" i="8"/>
  <c r="K11" i="8"/>
  <c r="L11" i="8"/>
  <c r="J12" i="8"/>
  <c r="K12" i="8"/>
  <c r="L12" i="8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J18" i="8"/>
  <c r="K18" i="8"/>
  <c r="L18" i="8"/>
  <c r="J19" i="8"/>
  <c r="K19" i="8"/>
  <c r="L19" i="8"/>
  <c r="J20" i="8"/>
  <c r="K20" i="8"/>
  <c r="L20" i="8"/>
  <c r="J21" i="8"/>
  <c r="K21" i="8"/>
  <c r="L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P2" i="14" l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<sst xmlns="http://schemas.openxmlformats.org/spreadsheetml/2006/main" count="471" uniqueCount="96">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</sst>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4.0025371828521436E-2"/>
          <c:y val="2.5428331875182269E-2"/>
          <c:w val="0.95042694663167104"/>
          <c:h val="0.890320428696412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F-4FA1-AFEE-C2BDDC846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607808"/>
        <c:axId val="1409606848"/>
      </c:barChart>
      <c:catAx>
        <c:axId val="140960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9606848"/>
        <c:crosses val="autoZero"/>
        <c:auto val="1"/>
        <c:lblAlgn val="ctr"/>
        <c:lblOffset val="100"/>
        <c:noMultiLvlLbl val="0"/>
      </c:catAx>
      <c:valAx>
        <c:axId val="140960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96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548640</xdr:colOff>
      <xdr:row>4</xdr:row>
      <xdr:rowOff>68580</xdr:rowOff>
    </xdr:from>
    <xdr:to>
      <xdr:col>36</xdr:col>
      <xdr:colOff>243840</xdr:colOff>
      <xdr:row>19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AE8BAD-E47A-EF44-5D1D-DD43CC420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E3" sqref="AE3"/>
    </sheetView>
  </sheetViews>
  <sheetFormatPr baseColWidth="10" defaultColWidth="8.88671875"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10" max="13" width="8.88671875" hidden="1" customWidth="1"/>
    <col min="14" max="14" width="14.21875" hidden="1" customWidth="1"/>
    <col min="15" max="15" width="13" hidden="1" customWidth="1"/>
    <col min="16" max="16" width="16.5546875" hidden="1" customWidth="1"/>
    <col min="17" max="17" width="8.88671875" hidden="1" customWidth="1"/>
    <col min="18" max="18" width="16" hidden="1" customWidth="1"/>
    <col min="19" max="23" width="8.88671875" customWidth="1"/>
    <col min="24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90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45967</v>
      </c>
      <c r="R2" t="e" cm="1">
        <f t="array" aca="1" ref="R2" ca="1">_xludf.datedif(N2,$P$2,"y")</f>
        <v>#NAME?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 "HH:MM AM/PM")</f>
        <v>03:22 PM</v>
      </c>
      <c r="Z2">
        <f>HOUR(D2)</f>
        <v>15</v>
      </c>
      <c r="AA2" cm="1">
        <f t="array" ref="AA2:AA25">_xlfn.SEQUENCE(24,,1)</f>
        <v>1</v>
      </c>
      <c r="AB2">
        <f>COUNTIF($Z$2:Z21,AA2)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 t="e" cm="1">
        <f t="array" aca="1" ref="R3" ca="1">_xludf.datedif(N3,$P$2, "D")</f>
        <v>#NAME?</v>
      </c>
      <c r="T3">
        <f t="shared" ref="T3:T21" si="4">HOUR(D3)</f>
        <v>9</v>
      </c>
      <c r="U3">
        <f t="shared" ref="U3:U21" si="5">MINUTE(D3)</f>
        <v>45</v>
      </c>
      <c r="V3">
        <f t="shared" ref="V3:V21" si="6">SECOND(D3)</f>
        <v>32</v>
      </c>
      <c r="X3" s="13">
        <f t="shared" ref="X3:X21" si="7">TIME(T3,U3,V3)</f>
        <v>0.40662037037037035</v>
      </c>
      <c r="Y3" t="str">
        <f t="shared" ref="Y3:Y21" si="8">TEXT(D3, "HH:MM AM/PM")</f>
        <v>09:45 AM</v>
      </c>
      <c r="Z3">
        <f t="shared" ref="Z3:Z25" si="9">HOUR(D3)</f>
        <v>9</v>
      </c>
      <c r="AA3">
        <v>2</v>
      </c>
      <c r="AB3">
        <f>COUNTIF($Z$2:Z22,AA3)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 t="e" cm="1">
        <f t="array" aca="1" ref="R4" ca="1">_xludf.datedif(N4,$P$2,"y")</f>
        <v>#NAME?</v>
      </c>
      <c r="T4">
        <f t="shared" si="4"/>
        <v>17</v>
      </c>
      <c r="U4">
        <f t="shared" si="5"/>
        <v>30</v>
      </c>
      <c r="V4">
        <f t="shared" si="6"/>
        <v>47</v>
      </c>
      <c r="X4" s="13">
        <f t="shared" si="7"/>
        <v>0.72971064814814812</v>
      </c>
      <c r="Y4" t="str">
        <f t="shared" si="8"/>
        <v>05:30 PM</v>
      </c>
      <c r="Z4">
        <f t="shared" si="9"/>
        <v>17</v>
      </c>
      <c r="AA4">
        <v>3</v>
      </c>
      <c r="AB4">
        <f>COUNTIF($Z$2:Z23,AA4)</f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 t="e" cm="1">
        <f t="array" aca="1" ref="R5" ca="1">_xludf.datedif(N5,$P$2,"y")</f>
        <v>#NAME?</v>
      </c>
      <c r="T5">
        <f t="shared" si="4"/>
        <v>7</v>
      </c>
      <c r="U5">
        <f t="shared" si="5"/>
        <v>15</v>
      </c>
      <c r="V5">
        <f t="shared" si="6"/>
        <v>9</v>
      </c>
      <c r="X5" s="13">
        <f t="shared" si="7"/>
        <v>0.3021875</v>
      </c>
      <c r="Y5" t="str">
        <f t="shared" si="8"/>
        <v>07:15 AM</v>
      </c>
      <c r="Z5">
        <f t="shared" si="9"/>
        <v>7</v>
      </c>
      <c r="AA5">
        <v>4</v>
      </c>
      <c r="AB5">
        <f>COUNTIF($Z$2:Z24,AA5)</f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 t="e" cm="1">
        <f t="array" aca="1" ref="R6" ca="1">_xludf.datedif(N6,$P$2,"y")</f>
        <v>#NAME?</v>
      </c>
      <c r="T6">
        <f t="shared" si="4"/>
        <v>17</v>
      </c>
      <c r="U6">
        <f t="shared" si="5"/>
        <v>0</v>
      </c>
      <c r="V6">
        <f t="shared" si="6"/>
        <v>21</v>
      </c>
      <c r="X6" s="13">
        <f t="shared" si="7"/>
        <v>0.70857638888888885</v>
      </c>
      <c r="Y6" t="str">
        <f t="shared" si="8"/>
        <v>05:00 PM</v>
      </c>
      <c r="Z6">
        <f t="shared" si="9"/>
        <v>17</v>
      </c>
      <c r="AA6">
        <v>5</v>
      </c>
      <c r="AB6">
        <f>COUNTIF($Z$2:Z25,AA6)</f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 t="e" cm="1">
        <f t="array" aca="1" ref="R7" ca="1">_xludf.datedif(N7,$P$2,"y")</f>
        <v>#NAME?</v>
      </c>
      <c r="T7">
        <f t="shared" si="4"/>
        <v>12</v>
      </c>
      <c r="U7">
        <f t="shared" si="5"/>
        <v>45</v>
      </c>
      <c r="V7">
        <f t="shared" si="6"/>
        <v>58</v>
      </c>
      <c r="X7" s="13">
        <f t="shared" si="7"/>
        <v>0.53192129629629625</v>
      </c>
      <c r="Y7" t="str">
        <f t="shared" si="8"/>
        <v>12:45 PM</v>
      </c>
      <c r="Z7">
        <f t="shared" si="9"/>
        <v>12</v>
      </c>
      <c r="AA7">
        <v>6</v>
      </c>
      <c r="AB7">
        <f>COUNTIF($Z$2:Z26,AA7)</f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 t="e" cm="1">
        <f t="array" aca="1" ref="R8" ca="1">_xludf.datedif(N8,$P$2,"y")</f>
        <v>#NAME?</v>
      </c>
      <c r="T8">
        <f t="shared" si="4"/>
        <v>16</v>
      </c>
      <c r="U8">
        <f t="shared" si="5"/>
        <v>30</v>
      </c>
      <c r="V8">
        <f t="shared" si="6"/>
        <v>33</v>
      </c>
      <c r="X8" s="13">
        <f t="shared" si="7"/>
        <v>0.68788194444444439</v>
      </c>
      <c r="Y8" t="str">
        <f t="shared" si="8"/>
        <v>04:30 PM</v>
      </c>
      <c r="Z8">
        <f t="shared" si="9"/>
        <v>16</v>
      </c>
      <c r="AA8">
        <v>7</v>
      </c>
      <c r="AB8">
        <f>COUNTIF($Z$2:Z27,AA8)</f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 t="e" cm="1">
        <f t="array" aca="1" ref="R9" ca="1">_xludf.datedif(N9,$P$2,"y")</f>
        <v>#NAME?</v>
      </c>
      <c r="T9">
        <f t="shared" si="4"/>
        <v>8</v>
      </c>
      <c r="U9">
        <f t="shared" si="5"/>
        <v>10</v>
      </c>
      <c r="V9">
        <f t="shared" si="6"/>
        <v>46</v>
      </c>
      <c r="X9" s="13">
        <f t="shared" si="7"/>
        <v>0.34081018518518519</v>
      </c>
      <c r="Y9" t="str">
        <f t="shared" si="8"/>
        <v>08:10 AM</v>
      </c>
      <c r="Z9">
        <f t="shared" si="9"/>
        <v>8</v>
      </c>
      <c r="AA9">
        <v>8</v>
      </c>
      <c r="AB9">
        <f>COUNTIF($Z$2:Z28,AA9)</f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 t="e" cm="1">
        <f t="array" aca="1" ref="R10" ca="1">_xludf.datedif(N10,$P$2,"y")</f>
        <v>#NAME?</v>
      </c>
      <c r="T10">
        <f t="shared" si="4"/>
        <v>17</v>
      </c>
      <c r="U10">
        <f t="shared" si="5"/>
        <v>50</v>
      </c>
      <c r="V10">
        <f t="shared" si="6"/>
        <v>24</v>
      </c>
      <c r="X10" s="13">
        <f t="shared" si="7"/>
        <v>0.74333333333333329</v>
      </c>
      <c r="Y10" t="str">
        <f t="shared" si="8"/>
        <v>05:50 PM</v>
      </c>
      <c r="Z10">
        <f t="shared" si="9"/>
        <v>17</v>
      </c>
      <c r="AA10">
        <v>9</v>
      </c>
      <c r="AB10">
        <f>COUNTIF($Z$2:Z29,AA10)</f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 t="e" cm="1">
        <f t="array" aca="1" ref="R11" ca="1">_xludf.datedif(N11,$P$2,"y")</f>
        <v>#NAME?</v>
      </c>
      <c r="T11">
        <f t="shared" si="4"/>
        <v>14</v>
      </c>
      <c r="U11">
        <f t="shared" si="5"/>
        <v>35</v>
      </c>
      <c r="V11">
        <f t="shared" si="6"/>
        <v>36</v>
      </c>
      <c r="X11" s="13">
        <f t="shared" si="7"/>
        <v>0.60805555555555557</v>
      </c>
      <c r="Y11" t="str">
        <f t="shared" si="8"/>
        <v>02:35 PM</v>
      </c>
      <c r="Z11">
        <f t="shared" si="9"/>
        <v>14</v>
      </c>
      <c r="AA11">
        <v>10</v>
      </c>
      <c r="AB11">
        <f>COUNTIF($Z$2:Z30,AA11)</f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 t="e" cm="1">
        <f t="array" aca="1" ref="R12" ca="1">_xludf.datedif(N12,$P$2,"y")</f>
        <v>#NAME?</v>
      </c>
      <c r="T12">
        <f t="shared" si="4"/>
        <v>6</v>
      </c>
      <c r="U12">
        <f t="shared" si="5"/>
        <v>50</v>
      </c>
      <c r="V12">
        <f t="shared" si="6"/>
        <v>18</v>
      </c>
      <c r="X12" s="13">
        <f t="shared" si="7"/>
        <v>0.28493055555555558</v>
      </c>
      <c r="Y12" t="str">
        <f t="shared" si="8"/>
        <v>06:50 AM</v>
      </c>
      <c r="Z12">
        <f t="shared" si="9"/>
        <v>6</v>
      </c>
      <c r="AA12">
        <v>11</v>
      </c>
      <c r="AB12">
        <f>COUNTIF($Z$2:Z31,AA12)</f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 t="e" cm="1">
        <f t="array" aca="1" ref="R13" ca="1">_xludf.datedif(N13,$P$2,"y")</f>
        <v>#NAME?</v>
      </c>
      <c r="T13">
        <f t="shared" si="4"/>
        <v>13</v>
      </c>
      <c r="U13">
        <f t="shared" si="5"/>
        <v>15</v>
      </c>
      <c r="V13">
        <f t="shared" si="6"/>
        <v>5</v>
      </c>
      <c r="X13" s="13">
        <f t="shared" si="7"/>
        <v>0.55214120370370368</v>
      </c>
      <c r="Y13" t="str">
        <f t="shared" si="8"/>
        <v>01:15 PM</v>
      </c>
      <c r="Z13">
        <f t="shared" si="9"/>
        <v>13</v>
      </c>
      <c r="AA13">
        <v>12</v>
      </c>
      <c r="AB13">
        <f>COUNTIF($Z$2:Z32,AA13)</f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 t="e" cm="1">
        <f t="array" aca="1" ref="R14" ca="1">_xludf.datedif(N14,$P$2,"y")</f>
        <v>#NAME?</v>
      </c>
      <c r="T14">
        <f t="shared" si="4"/>
        <v>11</v>
      </c>
      <c r="U14">
        <f t="shared" si="5"/>
        <v>45</v>
      </c>
      <c r="V14">
        <f t="shared" si="6"/>
        <v>39</v>
      </c>
      <c r="X14" s="13">
        <f t="shared" si="7"/>
        <v>0.49003472222222222</v>
      </c>
      <c r="Y14" t="str">
        <f t="shared" si="8"/>
        <v>11:45 AM</v>
      </c>
      <c r="Z14">
        <f t="shared" si="9"/>
        <v>11</v>
      </c>
      <c r="AA14">
        <v>13</v>
      </c>
      <c r="AB14">
        <f>COUNTIF($Z$2:Z33,AA14)</f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 t="e" cm="1">
        <f t="array" aca="1" ref="R15" ca="1">_xludf.datedif(N15,$P$2,"y")</f>
        <v>#NAME?</v>
      </c>
      <c r="T15">
        <f t="shared" si="4"/>
        <v>10</v>
      </c>
      <c r="U15">
        <f t="shared" si="5"/>
        <v>0</v>
      </c>
      <c r="V15">
        <f t="shared" si="6"/>
        <v>51</v>
      </c>
      <c r="X15" s="13">
        <f t="shared" si="7"/>
        <v>0.41725694444444444</v>
      </c>
      <c r="Y15" t="str">
        <f t="shared" si="8"/>
        <v>10:00 AM</v>
      </c>
      <c r="Z15">
        <f t="shared" si="9"/>
        <v>10</v>
      </c>
      <c r="AA15">
        <v>14</v>
      </c>
      <c r="AB15">
        <f>COUNTIF($Z$2:Z34,AA15)</f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 t="e" cm="1">
        <f t="array" aca="1" ref="R16" ca="1">_xludf.datedif(N16,$P$2,"y")</f>
        <v>#NAME?</v>
      </c>
      <c r="T16">
        <f t="shared" si="4"/>
        <v>17</v>
      </c>
      <c r="U16">
        <f t="shared" si="5"/>
        <v>30</v>
      </c>
      <c r="V16">
        <f t="shared" si="6"/>
        <v>14</v>
      </c>
      <c r="X16" s="13">
        <f t="shared" si="7"/>
        <v>0.72932870370370373</v>
      </c>
      <c r="Y16" t="str">
        <f t="shared" si="8"/>
        <v>05:30 PM</v>
      </c>
      <c r="Z16">
        <f t="shared" si="9"/>
        <v>17</v>
      </c>
      <c r="AA16">
        <v>15</v>
      </c>
      <c r="AB16">
        <f>COUNTIF($Z$2:Z35,AA16)</f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 t="e" cm="1">
        <f t="array" aca="1" ref="R17" ca="1">_xludf.datedif(N17,$P$2,"y")</f>
        <v>#NAME?</v>
      </c>
      <c r="T17">
        <f t="shared" si="4"/>
        <v>7</v>
      </c>
      <c r="U17">
        <f t="shared" si="5"/>
        <v>40</v>
      </c>
      <c r="V17">
        <f t="shared" si="6"/>
        <v>29</v>
      </c>
      <c r="X17" s="13">
        <f t="shared" si="7"/>
        <v>0.3197800925925926</v>
      </c>
      <c r="Y17" t="str">
        <f t="shared" si="8"/>
        <v>07:40 AM</v>
      </c>
      <c r="Z17">
        <f t="shared" si="9"/>
        <v>7</v>
      </c>
      <c r="AA17">
        <v>16</v>
      </c>
      <c r="AB17">
        <f>COUNTIF($Z$2:Z36,AA17)</f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 t="e" cm="1">
        <f t="array" aca="1" ref="R18" ca="1">_xludf.datedif(N18,$P$2,"y")</f>
        <v>#NAME?</v>
      </c>
      <c r="T18">
        <f t="shared" si="4"/>
        <v>17</v>
      </c>
      <c r="U18">
        <f t="shared" si="5"/>
        <v>15</v>
      </c>
      <c r="V18">
        <f t="shared" si="6"/>
        <v>42</v>
      </c>
      <c r="X18" s="13">
        <f t="shared" si="7"/>
        <v>0.71923611111111108</v>
      </c>
      <c r="Y18" t="str">
        <f t="shared" si="8"/>
        <v>05:15 PM</v>
      </c>
      <c r="Z18">
        <f t="shared" si="9"/>
        <v>17</v>
      </c>
      <c r="AA18">
        <v>17</v>
      </c>
      <c r="AB18">
        <f>COUNTIF($Z$2:Z37,AA18)</f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 t="e" cm="1">
        <f t="array" aca="1" ref="R19" ca="1">_xludf.datedif(N19,$P$2,"y")</f>
        <v>#NAME?</v>
      </c>
      <c r="T19">
        <f t="shared" si="4"/>
        <v>17</v>
      </c>
      <c r="U19">
        <f t="shared" si="5"/>
        <v>25</v>
      </c>
      <c r="V19">
        <f t="shared" si="6"/>
        <v>57</v>
      </c>
      <c r="X19" s="13">
        <f t="shared" si="7"/>
        <v>0.72635416666666663</v>
      </c>
      <c r="Y19" t="str">
        <f t="shared" si="8"/>
        <v>05:25 PM</v>
      </c>
      <c r="Z19">
        <f t="shared" si="9"/>
        <v>17</v>
      </c>
      <c r="AA19">
        <v>18</v>
      </c>
      <c r="AB19">
        <f>COUNTIF($Z$2:Z38,AA19)</f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 t="e" cm="1">
        <f t="array" aca="1" ref="R20" ca="1">_xludf.datedif(N20,$P$2,"y")</f>
        <v>#NAME?</v>
      </c>
      <c r="T20">
        <f t="shared" si="4"/>
        <v>7</v>
      </c>
      <c r="U20">
        <f t="shared" si="5"/>
        <v>0</v>
      </c>
      <c r="V20">
        <f t="shared" si="6"/>
        <v>3</v>
      </c>
      <c r="X20" s="13">
        <f t="shared" si="7"/>
        <v>0.29170138888888891</v>
      </c>
      <c r="Y20" t="str">
        <f t="shared" si="8"/>
        <v>07:00 AM</v>
      </c>
      <c r="Z20">
        <f t="shared" si="9"/>
        <v>7</v>
      </c>
      <c r="AA20">
        <v>19</v>
      </c>
      <c r="AB20">
        <f>COUNTIF($Z$2:Z39,AA20)</f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 t="e" cm="1">
        <f t="array" aca="1" ref="R21" ca="1">_xludf.datedif(N21,$P$2,"y")</f>
        <v>#NAME?</v>
      </c>
      <c r="T21">
        <f t="shared" si="4"/>
        <v>17</v>
      </c>
      <c r="U21">
        <f t="shared" si="5"/>
        <v>45</v>
      </c>
      <c r="V21">
        <f t="shared" si="6"/>
        <v>26</v>
      </c>
      <c r="X21" s="13">
        <f t="shared" si="7"/>
        <v>0.73988425925925927</v>
      </c>
      <c r="Y21" t="str">
        <f t="shared" si="8"/>
        <v>05:45 PM</v>
      </c>
      <c r="Z21">
        <f t="shared" si="9"/>
        <v>17</v>
      </c>
      <c r="AA21">
        <v>20</v>
      </c>
      <c r="AB21">
        <f>COUNTIF($Z$2:Z40,AA21)</f>
        <v>0</v>
      </c>
    </row>
    <row r="22" spans="1:28" x14ac:dyDescent="0.3">
      <c r="AA22">
        <v>21</v>
      </c>
      <c r="AB22">
        <f>COUNTIF($Z$2:Z41,AA22)</f>
        <v>0</v>
      </c>
    </row>
    <row r="23" spans="1:28" x14ac:dyDescent="0.3">
      <c r="AA23">
        <v>22</v>
      </c>
      <c r="AB23">
        <f>COUNTIF($Z$2:Z42,AA23)</f>
        <v>0</v>
      </c>
    </row>
    <row r="24" spans="1:28" x14ac:dyDescent="0.3">
      <c r="AA24">
        <v>23</v>
      </c>
      <c r="AB24">
        <f>COUNTIF($Z$2:Z43,AA24)</f>
        <v>0</v>
      </c>
    </row>
    <row r="25" spans="1:28" x14ac:dyDescent="0.3">
      <c r="AA25">
        <v>24</v>
      </c>
      <c r="AB25">
        <f>COUNTIF($Z$2:Z44,AA25)</f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baseColWidth="10" defaultColWidth="8.88671875"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45967</v>
      </c>
      <c r="R2">
        <f ca="1">DATEDIF(D2,$P$2,"D")</f>
        <v>996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912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839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794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719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665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613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559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509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487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512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1016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965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889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799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749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617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549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471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baseColWidth="10" defaultColWidth="8.88671875"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Blay Cervantes</cp:lastModifiedBy>
  <dcterms:created xsi:type="dcterms:W3CDTF">2015-06-05T18:17:20Z</dcterms:created>
  <dcterms:modified xsi:type="dcterms:W3CDTF">2025-11-06T08:23:10Z</dcterms:modified>
</cp:coreProperties>
</file>