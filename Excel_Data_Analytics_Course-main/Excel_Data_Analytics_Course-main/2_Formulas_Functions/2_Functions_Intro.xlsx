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2_Formulas_Functions\"/>
    </mc:Choice>
  </mc:AlternateContent>
  <xr:revisionPtr revIDLastSave="0" documentId="13_ncr:1_{2FF917C2-33C6-4C29-AFBC-5724BDC9815F}" xr6:coauthVersionLast="47" xr6:coauthVersionMax="47" xr10:uidLastSave="{00000000-0000-0000-0000-000000000000}"/>
  <bookViews>
    <workbookView xWindow="-96" yWindow="0" windowWidth="11712" windowHeight="13056" activeTab="1" xr2:uid="{8CC555B5-3E06-43B6-9E5B-C0A1D3498DA4}"/>
  </bookViews>
  <sheets>
    <sheet name="Final" sheetId="7" r:id="rId1"/>
    <sheet name="Data" sheetId="9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9" l="1"/>
  <c r="Q5" i="9"/>
  <c r="Q6" i="9"/>
  <c r="Q7" i="9"/>
  <c r="Q8" i="9"/>
  <c r="Q9" i="9"/>
  <c r="Q10" i="9"/>
  <c r="Q11" i="9"/>
  <c r="Q12" i="9"/>
  <c r="Q3" i="9"/>
  <c r="D17" i="9"/>
  <c r="C17" i="9"/>
  <c r="D16" i="9"/>
  <c r="C16" i="9"/>
  <c r="E16" i="9"/>
  <c r="D15" i="9"/>
  <c r="E15" i="9"/>
  <c r="C15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7" i="9" l="1"/>
  <c r="M12" i="9"/>
  <c r="P12" i="9" s="1"/>
  <c r="J12" i="9"/>
  <c r="J11" i="9"/>
  <c r="M11" i="9"/>
  <c r="P11" i="9" s="1"/>
  <c r="M10" i="9"/>
  <c r="P10" i="9" s="1"/>
  <c r="J10" i="9"/>
  <c r="J9" i="9"/>
  <c r="M9" i="9"/>
  <c r="P9" i="9" s="1"/>
  <c r="N8" i="9"/>
  <c r="J8" i="9"/>
  <c r="M8" i="9"/>
  <c r="O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P8" i="9" l="1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<sst xmlns="http://schemas.openxmlformats.org/spreadsheetml/2006/main" count="83" uniqueCount="49">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</sst>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0" xfId="0" applyFont="1" applyBorder="1" applyAlignment="1">
      <alignment horizontal="center" wrapText="1"/>
    </xf>
    <xf numFmtId="0" fontId="3" fillId="0" borderId="0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T17"/>
  <sheetViews>
    <sheetView tabSelected="1" topLeftCell="E1" zoomScale="120" zoomScaleNormal="120" workbookViewId="0">
      <selection activeCell="P13" sqref="P13"/>
    </sheetView>
  </sheetViews>
  <sheetFormatPr baseColWidth="10"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5.5546875" style="1" customWidth="1"/>
    <col min="13" max="13" width="13.77734375" style="1" customWidth="1"/>
    <col min="14" max="15" width="14.109375" style="1" hidden="1" customWidth="1"/>
    <col min="16" max="17" width="11.88671875" style="1" customWidth="1"/>
    <col min="18" max="18" width="9" style="1"/>
    <col min="19" max="19" width="14" style="1" bestFit="1" customWidth="1"/>
    <col min="20" max="16384" width="9" style="1"/>
  </cols>
  <sheetData>
    <row r="1" spans="2:20" ht="15" thickBot="1" x14ac:dyDescent="0.35">
      <c r="G1" s="28"/>
    </row>
    <row r="2" spans="2:20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Q2" s="40"/>
      <c r="S2" s="14" t="s">
        <v>24</v>
      </c>
      <c r="T2" s="1"/>
    </row>
    <row r="3" spans="2:20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$T$3&lt;=C3</f>
        <v>1</v>
      </c>
      <c r="M3" s="22" t="b">
        <f t="shared" ref="M3:M12" si="1">$G3&gt;=$T$4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Q3" s="41" t="str">
        <f>IF(P3,"Goal Met","Goal Not Met")</f>
        <v>Goal Met</v>
      </c>
      <c r="S3" s="10" t="s">
        <v>22</v>
      </c>
      <c r="T3" s="11">
        <v>5</v>
      </c>
    </row>
    <row r="4" spans="2:20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Q4" s="41" t="str">
        <f t="shared" ref="Q4:Q12" si="11">IF(P4,"Goal Met","Goal Not Met")</f>
        <v>Goal Not Met</v>
      </c>
      <c r="S4" s="12" t="s">
        <v>23</v>
      </c>
      <c r="T4" s="13">
        <v>90000</v>
      </c>
    </row>
    <row r="5" spans="2:20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  <c r="Q5" s="41" t="str">
        <f t="shared" si="11"/>
        <v>Goal Not Met</v>
      </c>
    </row>
    <row r="6" spans="2:20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  <c r="Q6" s="41" t="str">
        <f t="shared" si="11"/>
        <v>Goal Met</v>
      </c>
    </row>
    <row r="7" spans="2:20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  <c r="Q7" s="41" t="str">
        <f t="shared" si="11"/>
        <v>Goal Not Met</v>
      </c>
    </row>
    <row r="8" spans="2:20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  <c r="Q8" s="41" t="str">
        <f t="shared" si="11"/>
        <v>Goal Met</v>
      </c>
    </row>
    <row r="9" spans="2:20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  <c r="Q9" s="41" t="str">
        <f t="shared" si="11"/>
        <v>Goal Met</v>
      </c>
    </row>
    <row r="10" spans="2:20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  <c r="Q10" s="41" t="str">
        <f t="shared" si="11"/>
        <v>Goal Met</v>
      </c>
    </row>
    <row r="11" spans="2:20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  <c r="Q11" s="41" t="str">
        <f t="shared" si="11"/>
        <v>Goal Not Met</v>
      </c>
    </row>
    <row r="12" spans="2:20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  <c r="Q12" s="41" t="str">
        <f t="shared" si="11"/>
        <v>Goal Met</v>
      </c>
    </row>
    <row r="13" spans="2:20" ht="15" thickTop="1" x14ac:dyDescent="0.3">
      <c r="B13" s="29" t="s">
        <v>27</v>
      </c>
      <c r="C13" s="19">
        <f>AVERAGE(C3:C12)</f>
        <v>5.3</v>
      </c>
      <c r="D13" s="19">
        <f t="shared" ref="D13:E13" si="12">AVERAGE(D3:D12)</f>
        <v>119000</v>
      </c>
      <c r="E13" s="19">
        <f t="shared" si="12"/>
        <v>10400</v>
      </c>
    </row>
    <row r="14" spans="2:20" ht="15" thickBot="1" x14ac:dyDescent="0.35">
      <c r="B14" s="31" t="s">
        <v>28</v>
      </c>
      <c r="C14" s="20">
        <f>AVERAGE(C3:C12)</f>
        <v>5.3</v>
      </c>
      <c r="D14" s="20">
        <f t="shared" ref="D14:E14" si="13">AVERAGE(D3:D12)</f>
        <v>119000</v>
      </c>
      <c r="E14" s="20">
        <f t="shared" si="13"/>
        <v>10400</v>
      </c>
    </row>
    <row r="15" spans="2:20" ht="15" thickTop="1" x14ac:dyDescent="0.3">
      <c r="B15" s="29" t="s">
        <v>30</v>
      </c>
      <c r="C15" s="1">
        <f>COUNT(C3:C12)</f>
        <v>10</v>
      </c>
      <c r="D15" s="1">
        <f t="shared" ref="D15:E15" si="14">COUNT(D3:D12)</f>
        <v>10</v>
      </c>
      <c r="E15" s="1">
        <f t="shared" si="14"/>
        <v>10</v>
      </c>
    </row>
    <row r="16" spans="2:20" x14ac:dyDescent="0.3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 t="shared" ref="E16" si="15">COUNTIF(E3:E12,"&lt;=5")</f>
        <v>0</v>
      </c>
    </row>
    <row r="17" spans="2:5" ht="15" thickBot="1" x14ac:dyDescent="0.35">
      <c r="B17" s="12" t="s">
        <v>31</v>
      </c>
      <c r="C17" s="18">
        <f>COUNTIF($C$3:$C$12,"&lt;="&amp;T3)</f>
        <v>6</v>
      </c>
      <c r="D17" s="18">
        <f>COUNTIF($D$3:$D$12,"&gt;="&amp;T4)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8.88671875"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Final</vt:lpstr>
      <vt:lpstr>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Blay Cervantes</cp:lastModifiedBy>
  <dcterms:created xsi:type="dcterms:W3CDTF">2024-07-16T20:11:02Z</dcterms:created>
  <dcterms:modified xsi:type="dcterms:W3CDTF">2025-11-03T10:50:43Z</dcterms:modified>
</cp:coreProperties>
</file>