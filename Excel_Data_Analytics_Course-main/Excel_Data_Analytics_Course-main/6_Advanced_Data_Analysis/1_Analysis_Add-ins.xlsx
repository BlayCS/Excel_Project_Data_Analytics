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6_Advanced_Data_Analysis\"/>
    </mc:Choice>
  </mc:AlternateContent>
  <xr:revisionPtr revIDLastSave="0" documentId="13_ncr:1_{E7CB27AD-A4A3-4F4F-B344-0ECFD9B5B0F0}" xr6:coauthVersionLast="47" xr6:coauthVersionMax="47" xr10:uidLastSave="{00000000-0000-0000-0000-000000000000}"/>
  <bookViews>
    <workbookView xWindow="-108" yWindow="-108" windowWidth="23256" windowHeight="13176" firstSheet="6" activeTab="6" xr2:uid="{6C37AC85-509F-4D10-9DB1-F70D16D6FBAB}"/>
  </bookViews>
  <sheets>
    <sheet name="Hoja1" sheetId="16" state="hidden" r:id="rId1"/>
    <sheet name="Forecast_Original" sheetId="7" r:id="rId2"/>
    <sheet name="Forecast_Final" sheetId="8" state="hidden" r:id="rId3"/>
    <sheet name="Informe de respuestas 1" sheetId="18" state="hidden" r:id="rId4"/>
    <sheet name="Informe de sensibilidad 1" sheetId="19" state="hidden" r:id="rId5"/>
    <sheet name="Informe de límites 1" sheetId="20" state="hidden" r:id="rId6"/>
    <sheet name="What-If_Analysis" sheetId="3" r:id="rId7"/>
    <sheet name="Resumen del escenario" sheetId="17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6">'What-If_Analysis'!$C$3</definedName>
    <definedName name="bonus" localSheetId="6">'What-If_Analysis'!$C$4</definedName>
    <definedName name="raise" localSheetId="6">'What-If_Analysis'!$C$5</definedName>
    <definedName name="solver_adj" localSheetId="6" hidden="1">'What-If_Analysis'!$C$4:$C$5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'What-If_Analysis'!$C$4</definedName>
    <definedName name="solver_lhs2" localSheetId="6" hidden="1">'What-If_Analysis'!$C$5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'What-If_Analysis'!$C$14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1</definedName>
    <definedName name="solver_rhs1" localSheetId="6" hidden="1">0.2</definedName>
    <definedName name="solver_rhs2" localSheetId="6" hidden="1">0.05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5" hidden="1">2</definedName>
    <definedName name="solver_sho" localSheetId="10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3</definedName>
    <definedName name="solver_val" localSheetId="6" hidden="1">640000</definedName>
    <definedName name="solver_ver" localSheetId="6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C367" i="16"/>
  <c r="C375" i="16"/>
  <c r="C383" i="16"/>
  <c r="C391" i="16"/>
  <c r="C399" i="16"/>
  <c r="C407" i="16"/>
  <c r="C415" i="16"/>
  <c r="C423" i="16"/>
  <c r="C368" i="16"/>
  <c r="C376" i="16"/>
  <c r="C384" i="16"/>
  <c r="C392" i="16"/>
  <c r="C400" i="16"/>
  <c r="C408" i="16"/>
  <c r="C416" i="16"/>
  <c r="C424" i="16"/>
  <c r="C369" i="16"/>
  <c r="C377" i="16"/>
  <c r="C385" i="16"/>
  <c r="C393" i="16"/>
  <c r="C401" i="16"/>
  <c r="C409" i="16"/>
  <c r="C417" i="16"/>
  <c r="C425" i="16"/>
  <c r="C371" i="16"/>
  <c r="C387" i="16"/>
  <c r="C395" i="16"/>
  <c r="C403" i="16"/>
  <c r="C411" i="16"/>
  <c r="C427" i="16"/>
  <c r="C374" i="16"/>
  <c r="C406" i="16"/>
  <c r="C370" i="16"/>
  <c r="C378" i="16"/>
  <c r="C386" i="16"/>
  <c r="C394" i="16"/>
  <c r="C402" i="16"/>
  <c r="C410" i="16"/>
  <c r="C418" i="16"/>
  <c r="C426" i="16"/>
  <c r="C379" i="16"/>
  <c r="C419" i="16"/>
  <c r="C382" i="16"/>
  <c r="C414" i="16"/>
  <c r="C372" i="16"/>
  <c r="C380" i="16"/>
  <c r="C388" i="16"/>
  <c r="C396" i="16"/>
  <c r="C404" i="16"/>
  <c r="C412" i="16"/>
  <c r="C420" i="16"/>
  <c r="C381" i="16"/>
  <c r="C389" i="16"/>
  <c r="C397" i="16"/>
  <c r="C405" i="16"/>
  <c r="C413" i="16"/>
  <c r="C421" i="16"/>
  <c r="C390" i="16"/>
  <c r="C398" i="16"/>
  <c r="C422" i="16"/>
  <c r="C373" i="16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E373" i="16"/>
  <c r="E421" i="16"/>
  <c r="E389" i="16"/>
  <c r="D404" i="16"/>
  <c r="D372" i="16"/>
  <c r="D379" i="16"/>
  <c r="D402" i="16"/>
  <c r="D370" i="16"/>
  <c r="D411" i="16"/>
  <c r="D371" i="16"/>
  <c r="D401" i="16"/>
  <c r="E369" i="16"/>
  <c r="E400" i="16"/>
  <c r="E368" i="16"/>
  <c r="E399" i="16"/>
  <c r="E367" i="16"/>
  <c r="D388" i="16"/>
  <c r="D418" i="16"/>
  <c r="D395" i="16"/>
  <c r="E384" i="16"/>
  <c r="D397" i="16"/>
  <c r="E387" i="16"/>
  <c r="D408" i="16"/>
  <c r="D373" i="16"/>
  <c r="D421" i="16"/>
  <c r="D389" i="16"/>
  <c r="E404" i="16"/>
  <c r="E372" i="16"/>
  <c r="E379" i="16"/>
  <c r="E402" i="16"/>
  <c r="E370" i="16"/>
  <c r="E411" i="16"/>
  <c r="E371" i="16"/>
  <c r="E401" i="16"/>
  <c r="D369" i="16"/>
  <c r="D400" i="16"/>
  <c r="D368" i="16"/>
  <c r="D399" i="16"/>
  <c r="D367" i="16"/>
  <c r="E398" i="16"/>
  <c r="E382" i="16"/>
  <c r="D386" i="16"/>
  <c r="E385" i="16"/>
  <c r="E415" i="16"/>
  <c r="E380" i="16"/>
  <c r="E410" i="16"/>
  <c r="D409" i="16"/>
  <c r="D407" i="16"/>
  <c r="E422" i="16"/>
  <c r="E413" i="16"/>
  <c r="E381" i="16"/>
  <c r="D396" i="16"/>
  <c r="E414" i="16"/>
  <c r="D426" i="16"/>
  <c r="D394" i="16"/>
  <c r="E406" i="16"/>
  <c r="D403" i="16"/>
  <c r="E425" i="16"/>
  <c r="E393" i="16"/>
  <c r="E424" i="16"/>
  <c r="E392" i="16"/>
  <c r="E423" i="16"/>
  <c r="E391" i="16"/>
  <c r="E405" i="16"/>
  <c r="D417" i="16"/>
  <c r="E419" i="16"/>
  <c r="D422" i="16"/>
  <c r="D413" i="16"/>
  <c r="D381" i="16"/>
  <c r="E396" i="16"/>
  <c r="D414" i="16"/>
  <c r="E426" i="16"/>
  <c r="E394" i="16"/>
  <c r="D406" i="16"/>
  <c r="E403" i="16"/>
  <c r="D425" i="16"/>
  <c r="D393" i="16"/>
  <c r="D424" i="16"/>
  <c r="D392" i="16"/>
  <c r="D423" i="16"/>
  <c r="D391" i="16"/>
  <c r="D420" i="16"/>
  <c r="E374" i="16"/>
  <c r="E416" i="16"/>
  <c r="E383" i="16"/>
  <c r="E412" i="16"/>
  <c r="E427" i="16"/>
  <c r="D376" i="16"/>
  <c r="D398" i="16"/>
  <c r="D405" i="16"/>
  <c r="E420" i="16"/>
  <c r="E388" i="16"/>
  <c r="D382" i="16"/>
  <c r="E418" i="16"/>
  <c r="E386" i="16"/>
  <c r="D374" i="16"/>
  <c r="E395" i="16"/>
  <c r="E417" i="16"/>
  <c r="D385" i="16"/>
  <c r="D416" i="16"/>
  <c r="D384" i="16"/>
  <c r="D415" i="16"/>
  <c r="D383" i="16"/>
  <c r="E390" i="16"/>
  <c r="E397" i="16"/>
  <c r="D412" i="16"/>
  <c r="D380" i="16"/>
  <c r="D419" i="16"/>
  <c r="D410" i="16"/>
  <c r="D378" i="16"/>
  <c r="D427" i="16"/>
  <c r="D387" i="16"/>
  <c r="E409" i="16"/>
  <c r="D377" i="16"/>
  <c r="E408" i="16"/>
  <c r="E376" i="16"/>
  <c r="E407" i="16"/>
  <c r="E375" i="16"/>
  <c r="D390" i="16"/>
  <c r="E378" i="16"/>
  <c r="E377" i="16"/>
  <c r="D375" i="16"/>
</calcChain>
</file>

<file path=xl/sharedStrings.xml><?xml version="1.0" encoding="utf-8"?>
<sst xmlns="http://schemas.openxmlformats.org/spreadsheetml/2006/main" count="241" uniqueCount="129">
  <si>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</si>
  <si>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</si>
  <si>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</si>
  <si>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</si>
  <si>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</si>
  <si>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</si>
  <si>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</si>
  <si>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</si>
  <si>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</si>
  <si>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</si>
  <si>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</si>
  <si>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</si>
  <si>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</si>
  <si>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</si>
  <si>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</si>
  <si>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</si>
  <si>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</si>
  <si>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</si>
  <si>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</si>
  <si>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</si>
  <si>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</si>
  <si>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</si>
  <si>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</si>
  <si>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</si>
  <si>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</si>
  <si>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</si>
  <si>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</si>
  <si>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</si>
  <si>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</si>
  <si>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</si>
  <si>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</si>
  <si>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</si>
  <si>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</si>
  <si>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</si>
  <si>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</si>
  <si>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</si>
  <si>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</si>
  <si>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</si>
  <si>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</si>
  <si>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</si>
  <si>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</si>
  <si>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</si>
  <si>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</si>
  <si>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</si>
  <si>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</si>
  <si>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</si>
  <si>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</si>
  <si>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</si>
  <si>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</si>
  <si>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</si>
  <si>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</si>
  <si>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</si>
  <si>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</si>
  <si>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</si>
  <si>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</si>
  <si>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</si>
  <si>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</si>
  <si>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</si>
  <si>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</si>
  <si>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</si>
  <si>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</si>
  <si>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</si>
  <si>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</si>
  <si>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</si>
  <si>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</si>
  <si>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</si>
  <si>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</si>
  <si>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</si>
  <si>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</si>
  <si>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</si>
  <si>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</si>
  <si>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</si>
  <si>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</si>
  <si>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</si>
  <si>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</si>
  <si>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</si>
  <si>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</si>
  <si>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</si>
  <si>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Previsión(Job Count)</t>
  </si>
  <si>
    <t>Límite de confianza inferior(Job Count)</t>
  </si>
  <si>
    <t>Límite de confianza superior(Job Count)</t>
  </si>
  <si>
    <t>Creado por Propietario el 09/11/2025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</si>
  <si>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</si>
  <si>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</si>
  <si>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</si>
  <si>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</si>
  <si>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</si>
  <si>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</si>
  <si>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</si>
  <si>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Microsoft Excel 16.0 Informe de respuestas</t>
  </si>
  <si>
    <t>Hoja de cálculo: [1_Analysis_Add-ins.xlsx]What-If_Analysis</t>
  </si>
  <si>
    <t>Informe creado: 09/11/2025 11:05:39</t>
  </si>
  <si>
    <t>Resultado: Solver encontró una solución. Se cumplen todas las restricciones y condiciones óptimas.</t>
  </si>
  <si>
    <t>Motor de Solver</t>
  </si>
  <si>
    <t>Motor: GRG Nonlinear</t>
  </si>
  <si>
    <t>Tiempo de la solución: 0,031 segundos.</t>
  </si>
  <si>
    <t>Iteraciones: 2 Subproblemas: 0</t>
  </si>
  <si>
    <t>Opciones de Solver</t>
  </si>
  <si>
    <t>Tiempo máximo Ilimitado,  Iteraciones Ilimitado, Precision 0,000001, Usar escala automática</t>
  </si>
  <si>
    <t xml:space="preserve"> Convergencia 0,0001, Tamaño de población 100, Valor de inicialización aleatorio 0, Adelantada de derivados, Requerir límites</t>
  </si>
  <si>
    <t>Máximo de subproblemas Ilimitado, Máximo de soluciones de enteros Ilimitado, Tolerancia de enteros 1%, Asumir no negativo</t>
  </si>
  <si>
    <t>Celda objetivo (Valor de)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</si>
  <si>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</si>
  <si>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</si>
  <si>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</si>
  <si>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</si>
  <si>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</si>
  <si>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</si>
  <si>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</si>
  <si>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</si>
  <si>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</si>
  <si>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</si>
  <si>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</si>
  <si>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Continuar</t>
  </si>
  <si>
    <t>Vinculante</t>
  </si>
  <si>
    <t>Microsoft Excel 16.0 Informe de sensibilidad</t>
  </si>
  <si>
    <t>Final</t>
  </si>
  <si>
    <t>Valor</t>
  </si>
  <si>
    <t>Reducido</t>
  </si>
  <si>
    <t>Degradado</t>
  </si>
  <si>
    <t>Lagrange</t>
  </si>
  <si>
    <t>Multiplicador</t>
  </si>
  <si>
    <t>Microsoft Excel 16.0 Informe de límites</t>
  </si>
  <si>
    <t>Objetivo</t>
  </si>
  <si>
    <t>Inferior</t>
  </si>
  <si>
    <t>Límite</t>
  </si>
  <si>
    <t>Resultado</t>
  </si>
  <si>
    <t>Superior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</si>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</sst>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€&quot;* #,##0_);_(&quot;€&quot;* \(#,##0\);_(&quot;€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6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</cellXfs>
  <cellStyles count="3">
    <cellStyle name="Entrada" xfId="2" builtinId="20"/>
    <cellStyle name="Moneda" xfId="1" builtinId="4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D-44F4-8981-612F176D7EB9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Previsión(Job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Hoja1!$C$2:$C$427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5D-44F4-8981-612F176D7EB9}"/>
            </c:ext>
          </c:extLst>
        </c:ser>
        <c:ser>
          <c:idx val="2"/>
          <c:order val="2"/>
          <c:tx>
            <c:strRef>
              <c:f>Hoja1!$D$1</c:f>
              <c:strCache>
                <c:ptCount val="1"/>
                <c:pt idx="0">
                  <c:v>Límite de confianza inferior(Job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Hoja1!$A$2:$A$427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Hoja1!$D$2:$D$427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5D-44F4-8981-612F176D7EB9}"/>
            </c:ext>
          </c:extLst>
        </c:ser>
        <c:ser>
          <c:idx val="3"/>
          <c:order val="3"/>
          <c:tx>
            <c:strRef>
              <c:f>Hoja1!$E$1</c:f>
              <c:strCache>
                <c:ptCount val="1"/>
                <c:pt idx="0">
                  <c:v>Límite de confianza superior(Job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Hoja1!$A$2:$A$427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Hoja1!$E$2:$E$427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5D-44F4-8981-612F176D7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219647"/>
        <c:axId val="615222527"/>
      </c:lineChart>
      <c:catAx>
        <c:axId val="61521964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222527"/>
        <c:crosses val="autoZero"/>
        <c:auto val="1"/>
        <c:lblAlgn val="ctr"/>
        <c:lblOffset val="100"/>
        <c:noMultiLvlLbl val="0"/>
      </c:catAx>
      <c:valAx>
        <c:axId val="6152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521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5</xdr:row>
      <xdr:rowOff>7620</xdr:rowOff>
    </xdr:from>
    <xdr:to>
      <xdr:col>15</xdr:col>
      <xdr:colOff>146685</xdr:colOff>
      <xdr:row>25</xdr:row>
      <xdr:rowOff>17145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B36ED8-2375-3B56-152C-49B9DEC43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870334-8084-4A2F-944B-364063964BC9}" name="Tabla2" displayName="Tabla2" ref="A1:E427" totalsRowShown="0">
  <autoFilter ref="A1:E427" xr:uid="{CF870334-8084-4A2F-944B-364063964BC9}"/>
  <tableColumns count="5">
    <tableColumn id="1" xr3:uid="{CA8238FD-CE6E-4E1F-870D-38C84553AC7E}" name="Date" dataDxfId="2"/>
    <tableColumn id="2" xr3:uid="{5652A1AF-83F0-4C6D-BB81-7D2CD20EE0FF}" name="Job Count"/>
    <tableColumn id="3" xr3:uid="{8C7ED6CF-E71D-478F-86A4-30F91AED9C73}" name="Previsión(Job Count)">
      <calculatedColumnFormula>_xlfn.FORECAST.ETS(A2,$B$2:$B$366,$A$2:$A$366,1,1)</calculatedColumnFormula>
    </tableColumn>
    <tableColumn id="4" xr3:uid="{B3E3AD95-7143-42F5-B234-A957D9A71721}" name="Límite de confianza inferior(Job Count)" dataDxfId="1">
      <calculatedColumnFormula>C2-_xlfn.FORECAST.ETS.CONFINT(A2,$B$2:$B$366,$A$2:$A$366,0.95,1,1)</calculatedColumnFormula>
    </tableColumn>
    <tableColumn id="5" xr3:uid="{99D3E786-DAA0-449B-B86D-0A62CF70CFFD}" name="Límite de confianza superior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1E3A-31AA-470A-B3E4-726B56FD07CB}">
  <dimension ref="A1:E427"/>
  <sheetViews>
    <sheetView zoomScale="90" zoomScaleNormal="90" workbookViewId="0"/>
  </sheetViews>
  <sheetFormatPr baseColWidth="10" defaultRowHeight="14.4" x14ac:dyDescent="0.3"/>
  <cols>
    <col min="3" max="3" width="19.88671875" customWidth="1"/>
    <col min="4" max="4" width="34.6640625" customWidth="1"/>
    <col min="5" max="5" width="35.5546875" customWidth="1"/>
  </cols>
  <sheetData>
    <row r="1" spans="1:5" x14ac:dyDescent="0.3">
      <c r="A1" t="s">
        <v>9</v>
      </c>
      <c r="B1" t="s">
        <v>10</v>
      </c>
      <c r="C1" t="s">
        <v>78</v>
      </c>
      <c r="D1" t="s">
        <v>79</v>
      </c>
      <c r="E1" t="s">
        <v>80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baseColWidth="10" defaultColWidth="8.88671875"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baseColWidth="10" defaultColWidth="8.88671875"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81BC-8D83-44BC-951B-D7B788BB8515}">
  <dimension ref="A1:G27"/>
  <sheetViews>
    <sheetView showGridLines="0" workbookViewId="0"/>
  </sheetViews>
  <sheetFormatPr baseColWidth="10"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4.6640625" bestFit="1" customWidth="1"/>
    <col min="5" max="5" width="13.21875" bestFit="1" customWidth="1"/>
    <col min="6" max="6" width="9.5546875" bestFit="1" customWidth="1"/>
    <col min="7" max="7" width="7.5546875" bestFit="1" customWidth="1"/>
  </cols>
  <sheetData>
    <row r="1" spans="1:5" x14ac:dyDescent="0.3">
      <c r="A1" s="7" t="s">
        <v>89</v>
      </c>
    </row>
    <row r="2" spans="1:5" x14ac:dyDescent="0.3">
      <c r="A2" s="7" t="s">
        <v>90</v>
      </c>
    </row>
    <row r="3" spans="1:5" x14ac:dyDescent="0.3">
      <c r="A3" s="7" t="s">
        <v>91</v>
      </c>
    </row>
    <row r="4" spans="1:5" x14ac:dyDescent="0.3">
      <c r="A4" s="7" t="s">
        <v>92</v>
      </c>
    </row>
    <row r="5" spans="1:5" x14ac:dyDescent="0.3">
      <c r="A5" s="7" t="s">
        <v>93</v>
      </c>
    </row>
    <row r="6" spans="1:5" hidden="1" outlineLevel="1" x14ac:dyDescent="0.3">
      <c r="A6" s="7"/>
      <c r="B6" t="s">
        <v>94</v>
      </c>
    </row>
    <row r="7" spans="1:5" hidden="1" outlineLevel="1" x14ac:dyDescent="0.3">
      <c r="A7" s="7"/>
      <c r="B7" t="s">
        <v>95</v>
      </c>
    </row>
    <row r="8" spans="1:5" hidden="1" outlineLevel="1" x14ac:dyDescent="0.3">
      <c r="A8" s="7"/>
      <c r="B8" t="s">
        <v>96</v>
      </c>
    </row>
    <row r="9" spans="1:5" collapsed="1" x14ac:dyDescent="0.3">
      <c r="A9" s="7" t="s">
        <v>97</v>
      </c>
    </row>
    <row r="10" spans="1:5" hidden="1" outlineLevel="1" x14ac:dyDescent="0.3">
      <c r="B10" t="s">
        <v>98</v>
      </c>
    </row>
    <row r="11" spans="1:5" hidden="1" outlineLevel="1" x14ac:dyDescent="0.3">
      <c r="B11" t="s">
        <v>99</v>
      </c>
    </row>
    <row r="12" spans="1:5" hidden="1" outlineLevel="1" x14ac:dyDescent="0.3">
      <c r="B12" t="s">
        <v>100</v>
      </c>
    </row>
    <row r="13" spans="1:5" collapsed="1" x14ac:dyDescent="0.3"/>
    <row r="14" spans="1:5" ht="15" thickBot="1" x14ac:dyDescent="0.35">
      <c r="A14" t="s">
        <v>101</v>
      </c>
    </row>
    <row r="15" spans="1:5" ht="15" thickBot="1" x14ac:dyDescent="0.35">
      <c r="B15" s="79" t="s">
        <v>102</v>
      </c>
      <c r="C15" s="79" t="s">
        <v>103</v>
      </c>
      <c r="D15" s="79" t="s">
        <v>104</v>
      </c>
      <c r="E15" s="79" t="s">
        <v>105</v>
      </c>
    </row>
    <row r="16" spans="1:5" ht="15" thickBot="1" x14ac:dyDescent="0.35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" thickBot="1" x14ac:dyDescent="0.35">
      <c r="A19" t="s">
        <v>106</v>
      </c>
    </row>
    <row r="20" spans="1:7" ht="15" thickBot="1" x14ac:dyDescent="0.35">
      <c r="B20" s="79" t="s">
        <v>102</v>
      </c>
      <c r="C20" s="79" t="s">
        <v>103</v>
      </c>
      <c r="D20" s="79" t="s">
        <v>104</v>
      </c>
      <c r="E20" s="79" t="s">
        <v>105</v>
      </c>
      <c r="F20" s="79" t="s">
        <v>107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113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113</v>
      </c>
    </row>
    <row r="25" spans="1:7" ht="15" thickBot="1" x14ac:dyDescent="0.35">
      <c r="A25" t="s">
        <v>108</v>
      </c>
    </row>
    <row r="26" spans="1:7" ht="15" thickBot="1" x14ac:dyDescent="0.35">
      <c r="B26" s="79" t="s">
        <v>102</v>
      </c>
      <c r="C26" s="79" t="s">
        <v>103</v>
      </c>
      <c r="D26" s="79" t="s">
        <v>109</v>
      </c>
      <c r="E26" s="79" t="s">
        <v>110</v>
      </c>
      <c r="F26" s="79" t="s">
        <v>111</v>
      </c>
      <c r="G26" s="79" t="s">
        <v>112</v>
      </c>
    </row>
    <row r="27" spans="1:7" ht="15" thickBot="1" x14ac:dyDescent="0.35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114</v>
      </c>
      <c r="G27" s="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F3CE-1771-4221-91BA-E690A035D7F3}">
  <dimension ref="A1:E15"/>
  <sheetViews>
    <sheetView showGridLines="0" workbookViewId="0"/>
  </sheetViews>
  <sheetFormatPr baseColWidth="10"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12.21875" bestFit="1" customWidth="1"/>
  </cols>
  <sheetData>
    <row r="1" spans="1:5" x14ac:dyDescent="0.3">
      <c r="A1" s="7" t="s">
        <v>115</v>
      </c>
    </row>
    <row r="2" spans="1:5" x14ac:dyDescent="0.3">
      <c r="A2" s="7" t="s">
        <v>90</v>
      </c>
    </row>
    <row r="3" spans="1:5" x14ac:dyDescent="0.3">
      <c r="A3" s="7" t="s">
        <v>91</v>
      </c>
    </row>
    <row r="6" spans="1:5" ht="15" thickBot="1" x14ac:dyDescent="0.35">
      <c r="A6" t="s">
        <v>106</v>
      </c>
    </row>
    <row r="7" spans="1:5" x14ac:dyDescent="0.3">
      <c r="B7" s="84"/>
      <c r="C7" s="84"/>
      <c r="D7" s="84" t="s">
        <v>116</v>
      </c>
      <c r="E7" s="84" t="s">
        <v>118</v>
      </c>
    </row>
    <row r="8" spans="1:5" ht="15" thickBot="1" x14ac:dyDescent="0.35">
      <c r="B8" s="85" t="s">
        <v>102</v>
      </c>
      <c r="C8" s="85" t="s">
        <v>103</v>
      </c>
      <c r="D8" s="85" t="s">
        <v>117</v>
      </c>
      <c r="E8" s="85" t="s">
        <v>119</v>
      </c>
    </row>
    <row r="9" spans="1:5" x14ac:dyDescent="0.3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35">
      <c r="A12" t="s">
        <v>108</v>
      </c>
    </row>
    <row r="13" spans="1:5" x14ac:dyDescent="0.3">
      <c r="B13" s="84"/>
      <c r="C13" s="84"/>
      <c r="D13" s="84" t="s">
        <v>116</v>
      </c>
      <c r="E13" s="84" t="s">
        <v>120</v>
      </c>
    </row>
    <row r="14" spans="1:5" ht="15" thickBot="1" x14ac:dyDescent="0.35">
      <c r="B14" s="85" t="s">
        <v>102</v>
      </c>
      <c r="C14" s="85" t="s">
        <v>103</v>
      </c>
      <c r="D14" s="85" t="s">
        <v>117</v>
      </c>
      <c r="E14" s="85" t="s">
        <v>121</v>
      </c>
    </row>
    <row r="15" spans="1:5" ht="15" thickBot="1" x14ac:dyDescent="0.35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55B1-244A-405A-884A-4DE3250E3D20}">
  <dimension ref="A1:J14"/>
  <sheetViews>
    <sheetView showGridLines="0" workbookViewId="0">
      <selection sqref="A1:A3"/>
    </sheetView>
  </sheetViews>
  <sheetFormatPr baseColWidth="10" defaultRowHeight="14.4" x14ac:dyDescent="0.3"/>
  <cols>
    <col min="1" max="1" width="2.33203125" customWidth="1"/>
    <col min="2" max="2" width="5.88671875" bestFit="1" customWidth="1"/>
    <col min="3" max="3" width="8" bestFit="1" customWidth="1"/>
    <col min="4" max="4" width="9.6640625" bestFit="1" customWidth="1"/>
    <col min="5" max="5" width="2.33203125" customWidth="1"/>
    <col min="6" max="6" width="7" bestFit="1" customWidth="1"/>
    <col min="7" max="7" width="12.109375" bestFit="1" customWidth="1"/>
    <col min="8" max="8" width="2.33203125" customWidth="1"/>
    <col min="9" max="9" width="8.109375" bestFit="1" customWidth="1"/>
    <col min="10" max="10" width="9.33203125" bestFit="1" customWidth="1"/>
  </cols>
  <sheetData>
    <row r="1" spans="1:10" x14ac:dyDescent="0.3">
      <c r="A1" s="7" t="s">
        <v>122</v>
      </c>
    </row>
    <row r="2" spans="1:10" x14ac:dyDescent="0.3">
      <c r="A2" s="7" t="s">
        <v>90</v>
      </c>
    </row>
    <row r="3" spans="1:10" x14ac:dyDescent="0.3">
      <c r="A3" s="7" t="s">
        <v>91</v>
      </c>
    </row>
    <row r="5" spans="1:10" ht="15" thickBot="1" x14ac:dyDescent="0.35"/>
    <row r="6" spans="1:10" x14ac:dyDescent="0.3">
      <c r="B6" s="84"/>
      <c r="C6" s="84" t="s">
        <v>123</v>
      </c>
      <c r="D6" s="84"/>
    </row>
    <row r="7" spans="1:10" ht="15" thickBot="1" x14ac:dyDescent="0.35">
      <c r="B7" s="85" t="s">
        <v>102</v>
      </c>
      <c r="C7" s="85" t="s">
        <v>103</v>
      </c>
      <c r="D7" s="85" t="s">
        <v>117</v>
      </c>
    </row>
    <row r="8" spans="1:10" ht="15" thickBot="1" x14ac:dyDescent="0.35">
      <c r="B8" s="78" t="s">
        <v>29</v>
      </c>
      <c r="C8" s="78" t="s">
        <v>35</v>
      </c>
      <c r="D8" s="81">
        <v>639999.95106057753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124</v>
      </c>
      <c r="G11" s="84" t="s">
        <v>123</v>
      </c>
      <c r="I11" s="84" t="s">
        <v>127</v>
      </c>
      <c r="J11" s="84" t="s">
        <v>123</v>
      </c>
    </row>
    <row r="12" spans="1:10" ht="15" thickBot="1" x14ac:dyDescent="0.35">
      <c r="B12" s="85" t="s">
        <v>102</v>
      </c>
      <c r="C12" s="85" t="s">
        <v>103</v>
      </c>
      <c r="D12" s="85" t="s">
        <v>117</v>
      </c>
      <c r="F12" s="85" t="s">
        <v>125</v>
      </c>
      <c r="G12" s="85" t="s">
        <v>126</v>
      </c>
      <c r="I12" s="85" t="s">
        <v>125</v>
      </c>
      <c r="J12" s="85" t="s">
        <v>126</v>
      </c>
    </row>
    <row r="13" spans="1:10" x14ac:dyDescent="0.3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s">
        <v>128</v>
      </c>
      <c r="J13" s="80" t="s">
        <v>128</v>
      </c>
    </row>
    <row r="14" spans="1:10" ht="15" thickBot="1" x14ac:dyDescent="0.3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s">
        <v>128</v>
      </c>
      <c r="J14" s="78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F12" sqref="F12"/>
    </sheetView>
  </sheetViews>
  <sheetFormatPr baseColWidth="10" defaultColWidth="8.88671875" defaultRowHeight="14.4" x14ac:dyDescent="0.3"/>
  <cols>
    <col min="2" max="2" width="11.5546875" customWidth="1"/>
    <col min="3" max="3" width="9.88671875" bestFit="1" customWidth="1"/>
    <col min="6" max="6" width="10.5546875" bestFit="1" customWidth="1"/>
    <col min="7" max="7" width="6" bestFit="1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117283.47961066144</v>
      </c>
    </row>
    <row r="10" spans="2:8" x14ac:dyDescent="0.3">
      <c r="B10" s="4">
        <v>1</v>
      </c>
      <c r="C10" s="2">
        <f>(base*(1+raise)^B10)*(1+bonus)</f>
        <v>122412.5050118659</v>
      </c>
    </row>
    <row r="11" spans="2:8" x14ac:dyDescent="0.3">
      <c r="B11" s="4">
        <v>2</v>
      </c>
      <c r="C11" s="2">
        <f>(base*(1+raise)^B11)*(1+bonus)</f>
        <v>127765.83226405167</v>
      </c>
    </row>
    <row r="12" spans="2:8" x14ac:dyDescent="0.3">
      <c r="B12" s="4">
        <v>3</v>
      </c>
      <c r="C12" s="2">
        <f>(base*(1+raise)^B12)*(1+bonus)</f>
        <v>133353.27050568431</v>
      </c>
    </row>
    <row r="13" spans="2:8" ht="15" thickBot="1" x14ac:dyDescent="0.35">
      <c r="B13" s="36">
        <v>4</v>
      </c>
      <c r="C13" s="37">
        <f>(base*(1+raise)^B13)*(1+bonus)</f>
        <v>139185.05784715715</v>
      </c>
    </row>
    <row r="14" spans="2:8" ht="15.6" thickTop="1" thickBot="1" x14ac:dyDescent="0.35">
      <c r="B14" s="34" t="s">
        <v>3</v>
      </c>
      <c r="C14" s="35">
        <f>SUM(C9:C13)</f>
        <v>640000.14523942047</v>
      </c>
    </row>
  </sheetData>
  <scenarios current="0" sqref="C9:C14">
    <scenario name="Job 1" locked="1" count="3" user="Propietario" comment="Creado por Propietario el 09/11/2025">
      <inputCells r="C3" val="100000" numFmtId="165"/>
      <inputCells r="C4" val="0,1" numFmtId="9"/>
      <inputCells r="C5" val="0,015" numFmtId="166"/>
    </scenario>
    <scenario name="Job 2" locked="1" count="3" user="Propietario" comment="Creado por Propietario el 09/11/2025">
      <inputCells r="C3" val="80000" numFmtId="165"/>
      <inputCells r="C4" val="0,15" numFmtId="9"/>
      <inputCells r="C5" val="0,012" numFmtId="166"/>
    </scenario>
    <scenario name="Job 3" locked="1" count="3" user="Propietario" comment="Creado por Propietario el 09/11/2025">
      <inputCells r="C3" val="120000" numFmtId="165"/>
      <inputCells r="C4" val="0,05" numFmtId="9"/>
      <inputCells r="C5" val="0,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C62D-F571-4DA9-B0C2-2C1156819A52}">
  <sheetPr>
    <outlinePr summaryBelow="0"/>
  </sheetPr>
  <dimension ref="B1:G18"/>
  <sheetViews>
    <sheetView showGridLines="0" workbookViewId="0"/>
  </sheetViews>
  <sheetFormatPr baseColWidth="10" defaultRowHeight="14.4" outlineLevelRow="1" outlineLevelCol="1" x14ac:dyDescent="0.3"/>
  <cols>
    <col min="3" max="3" width="10.33203125" bestFit="1" customWidth="1"/>
    <col min="4" max="7" width="13.88671875" bestFit="1" customWidth="1" outlineLevel="1"/>
  </cols>
  <sheetData>
    <row r="1" spans="2:7" ht="15" thickBot="1" x14ac:dyDescent="0.35"/>
    <row r="2" spans="2:7" ht="15.6" x14ac:dyDescent="0.3">
      <c r="B2" s="22" t="s">
        <v>82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84</v>
      </c>
      <c r="E3" s="28" t="s">
        <v>17</v>
      </c>
      <c r="F3" s="28" t="s">
        <v>19</v>
      </c>
      <c r="G3" s="28" t="s">
        <v>21</v>
      </c>
    </row>
    <row r="4" spans="2:7" ht="21.6" hidden="1" outlineLevel="1" x14ac:dyDescent="0.3">
      <c r="B4" s="73"/>
      <c r="C4" s="73"/>
      <c r="D4" s="67"/>
      <c r="E4" s="77" t="s">
        <v>81</v>
      </c>
      <c r="F4" s="77" t="s">
        <v>81</v>
      </c>
      <c r="G4" s="77" t="s">
        <v>81</v>
      </c>
    </row>
    <row r="5" spans="2:7" x14ac:dyDescent="0.3">
      <c r="B5" s="25" t="s">
        <v>83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">
      <c r="B9" s="25" t="s">
        <v>85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">
      <c r="B16" t="s">
        <v>86</v>
      </c>
    </row>
    <row r="17" spans="2:2" x14ac:dyDescent="0.3">
      <c r="B17" t="s">
        <v>87</v>
      </c>
    </row>
    <row r="18" spans="2:2" x14ac:dyDescent="0.3">
      <c r="B18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baseColWidth="10" defaultColWidth="8.88671875"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topLeftCell="M1" workbookViewId="0">
      <selection activeCell="X14" sqref="X14"/>
    </sheetView>
  </sheetViews>
  <sheetFormatPr baseColWidth="10" defaultColWidth="8.88671875"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baseColWidth="10" defaultColWidth="8.88671875"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Hoja1</vt:lpstr>
      <vt:lpstr>Forecast_Original</vt:lpstr>
      <vt:lpstr>Forecast_Final</vt:lpstr>
      <vt:lpstr>Informe de respuestas 1</vt:lpstr>
      <vt:lpstr>Informe de sensibilidad 1</vt:lpstr>
      <vt:lpstr>Informe de límites 1</vt:lpstr>
      <vt:lpstr>What-If_Analysis</vt:lpstr>
      <vt:lpstr>Resumen del escenario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Blay Cervantes</cp:lastModifiedBy>
  <dcterms:created xsi:type="dcterms:W3CDTF">2024-08-08T18:34:47Z</dcterms:created>
  <dcterms:modified xsi:type="dcterms:W3CDTF">2025-11-09T10:11:13Z</dcterms:modified>
</cp:coreProperties>
</file>